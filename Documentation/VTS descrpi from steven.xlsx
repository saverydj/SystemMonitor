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Default Extension="gif" ContentType="image/gif"/>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checkCompatibility="1" defaultThemeVersion="124226"/>
  <bookViews>
    <workbookView xWindow="0" yWindow="0" windowWidth="19200" windowHeight="11460" tabRatio="874" activeTab="2"/>
  </bookViews>
  <sheets>
    <sheet name="Tests (CARB Specific)" sheetId="8" r:id="rId1"/>
    <sheet name="Tests" sheetId="7" r:id="rId2"/>
    <sheet name="Resource Mapping Der (CARB XML)" sheetId="16" r:id="rId3"/>
    <sheet name="ARB FuelDescription" sheetId="21" r:id="rId4"/>
    <sheet name="ARB Veh_Class_Code" sheetId="22" r:id="rId5"/>
    <sheet name="Devices" sheetId="3" r:id="rId6"/>
    <sheet name="Optional Devices" sheetId="17" r:id="rId7"/>
    <sheet name="Drivers Aid" sheetId="2" r:id="rId8"/>
    <sheet name="CVS" sheetId="10" r:id="rId9"/>
    <sheet name="Flow Streams" sheetId="14" r:id="rId10"/>
    <sheet name="Weather Station" sheetId="13" r:id="rId11"/>
    <sheet name="Configurations Overview" sheetId="19" r:id="rId12"/>
    <sheet name="Filter Configurations" sheetId="20" r:id="rId13"/>
    <sheet name="Configurations" sheetId="4" r:id="rId14"/>
    <sheet name="Optional Device Config." sheetId="18" r:id="rId15"/>
    <sheet name="Settings" sheetId="12" r:id="rId16"/>
    <sheet name="Sample Line Configurations " sheetId="9" r:id="rId17"/>
  </sheets>
  <definedNames>
    <definedName name="_xlnm.Print_Area" localSheetId="0">'Tests (CARB Specific)'!$A$1:$B$42</definedName>
  </definedNames>
  <calcPr calcId="162913"/>
</workbook>
</file>

<file path=xl/calcChain.xml><?xml version="1.0" encoding="utf-8"?>
<calcChain xmlns="http://schemas.openxmlformats.org/spreadsheetml/2006/main">
  <c r="C11" i="20" l="1"/>
  <c r="F11" i="20"/>
  <c r="I11" i="20"/>
  <c r="C12" i="20"/>
  <c r="F12" i="20"/>
  <c r="I12" i="20"/>
  <c r="C13" i="20"/>
  <c r="F13" i="20"/>
  <c r="C14" i="20"/>
  <c r="D15" i="20" s="1"/>
  <c r="F14" i="20"/>
  <c r="I14" i="20"/>
  <c r="J15" i="20" s="1"/>
  <c r="C15" i="20"/>
  <c r="F15" i="20"/>
  <c r="G15" i="20"/>
  <c r="I15" i="20"/>
  <c r="C16" i="20"/>
  <c r="F16" i="20"/>
  <c r="G17" i="20" s="1"/>
  <c r="I16" i="20"/>
  <c r="J17" i="20" s="1"/>
  <c r="J16" i="20"/>
  <c r="C17" i="20"/>
  <c r="D17" i="20"/>
  <c r="F17" i="20"/>
  <c r="I17" i="20"/>
  <c r="O18" i="20"/>
  <c r="R19" i="20"/>
  <c r="U19" i="20"/>
  <c r="R20" i="20"/>
  <c r="U20" i="20"/>
</calcChain>
</file>

<file path=xl/comments1.xml><?xml version="1.0" encoding="utf-8"?>
<comments xmlns="http://schemas.openxmlformats.org/spreadsheetml/2006/main">
  <authors>
    <author>Siebler, Jorg</author>
  </authors>
  <commentList>
    <comment ref="A39" authorId="0">
      <text>
        <r>
          <rPr>
            <b/>
            <sz val="9"/>
            <color indexed="81"/>
            <rFont val="Tahoma"/>
            <family val="2"/>
          </rPr>
          <t>Siebler, Jorg:</t>
        </r>
        <r>
          <rPr>
            <sz val="9"/>
            <color indexed="81"/>
            <rFont val="Tahoma"/>
            <family val="2"/>
          </rPr>
          <t xml:space="preserve">
Select one of the options listed below
</t>
        </r>
      </text>
    </comment>
  </commentList>
</comments>
</file>

<file path=xl/comments2.xml><?xml version="1.0" encoding="utf-8"?>
<comments xmlns="http://schemas.openxmlformats.org/spreadsheetml/2006/main">
  <authors>
    <author>Siebler, Jorg</author>
  </authors>
  <commentList>
    <comment ref="B3" authorId="0">
      <text>
        <r>
          <rPr>
            <b/>
            <sz val="9"/>
            <color indexed="81"/>
            <rFont val="Tahoma"/>
            <family val="2"/>
          </rPr>
          <t>Siebler, Jorg:</t>
        </r>
        <r>
          <rPr>
            <sz val="9"/>
            <color indexed="81"/>
            <rFont val="Tahoma"/>
            <family val="2"/>
          </rPr>
          <t xml:space="preserve">
Available for demo:
CFR1066
CFR86
Additional in Standard:
Euro3
Euro4
Euro5
Euro6 (b/c)
Japan 1015
Japan JC08</t>
        </r>
      </text>
    </comment>
    <comment ref="D16" authorId="0">
      <text>
        <r>
          <rPr>
            <b/>
            <sz val="9"/>
            <color indexed="81"/>
            <rFont val="Tahoma"/>
            <family val="2"/>
          </rPr>
          <t>Siebler, Jorg:</t>
        </r>
        <r>
          <rPr>
            <sz val="9"/>
            <color indexed="81"/>
            <rFont val="Tahoma"/>
            <family val="2"/>
          </rPr>
          <t xml:space="preserve">
 a user-defined name for the Drive Unit Block (this is the name that is displayed in the Drive Unit Block header) </t>
        </r>
      </text>
    </comment>
    <comment ref="D17" authorId="0">
      <text>
        <r>
          <rPr>
            <b/>
            <sz val="9"/>
            <color indexed="81"/>
            <rFont val="Tahoma"/>
            <family val="2"/>
          </rPr>
          <t>Siebler, Jorg:</t>
        </r>
        <r>
          <rPr>
            <sz val="9"/>
            <color indexed="81"/>
            <rFont val="Tahoma"/>
            <family val="2"/>
          </rPr>
          <t xml:space="preserve">
the maximum value by which the driver is allowed to deviate from any speed setpoint </t>
        </r>
      </text>
    </comment>
    <comment ref="D18" authorId="0">
      <text>
        <r>
          <rPr>
            <b/>
            <sz val="9"/>
            <color indexed="81"/>
            <rFont val="Tahoma"/>
            <family val="2"/>
          </rPr>
          <t>Siebler, Jorg:</t>
        </r>
        <r>
          <rPr>
            <sz val="9"/>
            <color indexed="81"/>
            <rFont val="Tahoma"/>
            <family val="2"/>
          </rPr>
          <t xml:space="preserve">
the maximum time the driver is allowed to deviate from any time setpoint </t>
        </r>
      </text>
    </comment>
    <comment ref="B85" authorId="0">
      <text>
        <r>
          <rPr>
            <b/>
            <sz val="9"/>
            <color indexed="81"/>
            <rFont val="Tahoma"/>
            <family val="2"/>
          </rPr>
          <t>Siebler, Jorg:</t>
        </r>
        <r>
          <rPr>
            <sz val="9"/>
            <color indexed="81"/>
            <rFont val="Tahoma"/>
            <family val="2"/>
          </rPr>
          <t xml:space="preserve">
Available for demo:
CFR1066
CFR86
Additional in Standard:
Euro3
Euro4
Euro5
Euro6 (b/c)
Japan 1015
Japan JC08</t>
        </r>
      </text>
    </comment>
    <comment ref="B143" authorId="0">
      <text>
        <r>
          <rPr>
            <b/>
            <sz val="9"/>
            <color indexed="81"/>
            <rFont val="Tahoma"/>
            <family val="2"/>
          </rPr>
          <t>Siebler, Jorg:</t>
        </r>
        <r>
          <rPr>
            <sz val="9"/>
            <color indexed="81"/>
            <rFont val="Tahoma"/>
            <family val="2"/>
          </rPr>
          <t xml:space="preserve">
Available for demo:
CFR1066
CFR86
Additional in Standard:
Euro3
Euro4
Euro5
Euro6 (b/c)
Japan 1015
Japan JC08</t>
        </r>
      </text>
    </comment>
    <comment ref="B201" authorId="0">
      <text>
        <r>
          <rPr>
            <b/>
            <sz val="9"/>
            <color indexed="81"/>
            <rFont val="Tahoma"/>
            <family val="2"/>
          </rPr>
          <t>Siebler, Jorg:</t>
        </r>
        <r>
          <rPr>
            <sz val="9"/>
            <color indexed="81"/>
            <rFont val="Tahoma"/>
            <family val="2"/>
          </rPr>
          <t xml:space="preserve">
Available for demo:
CFR1066
CFR86
Additional in Standard:
Euro3
Euro4
Euro5
Euro6 (b/c)
Japan 1015
Japan JC08</t>
        </r>
      </text>
    </comment>
  </commentList>
</comments>
</file>

<file path=xl/comments3.xml><?xml version="1.0" encoding="utf-8"?>
<comments xmlns="http://schemas.openxmlformats.org/spreadsheetml/2006/main">
  <authors>
    <author>Siebler, Jorg</author>
  </authors>
  <commentList>
    <comment ref="D130" authorId="0">
      <text>
        <r>
          <rPr>
            <b/>
            <sz val="9"/>
            <color indexed="81"/>
            <rFont val="Tahoma"/>
            <family val="2"/>
          </rPr>
          <t>Siebler, Jorg:</t>
        </r>
        <r>
          <rPr>
            <sz val="9"/>
            <color indexed="81"/>
            <rFont val="Tahoma"/>
            <family val="2"/>
          </rPr>
          <t xml:space="preserve">
Always Cell #1</t>
        </r>
      </text>
    </comment>
    <comment ref="D131" authorId="0">
      <text>
        <r>
          <rPr>
            <b/>
            <sz val="9"/>
            <color indexed="81"/>
            <rFont val="Tahoma"/>
            <family val="2"/>
          </rPr>
          <t>Siebler, Jorg:</t>
        </r>
        <r>
          <rPr>
            <sz val="9"/>
            <color indexed="81"/>
            <rFont val="Tahoma"/>
            <family val="2"/>
          </rPr>
          <t xml:space="preserve">
Can we list in STARS VETS based on the priority?</t>
        </r>
      </text>
    </comment>
  </commentList>
</comments>
</file>

<file path=xl/comments4.xml><?xml version="1.0" encoding="utf-8"?>
<comments xmlns="http://schemas.openxmlformats.org/spreadsheetml/2006/main">
  <authors>
    <author>Siebler, Jorg</author>
  </authors>
  <commentList>
    <comment ref="D9" authorId="0">
      <text>
        <r>
          <rPr>
            <b/>
            <sz val="9"/>
            <color indexed="81"/>
            <rFont val="Tahoma"/>
            <family val="2"/>
          </rPr>
          <t>Siebler, Jorg:</t>
        </r>
        <r>
          <rPr>
            <sz val="9"/>
            <color indexed="81"/>
            <rFont val="Tahoma"/>
            <family val="2"/>
          </rPr>
          <t xml:space="preserve">
reads sample bag range on auto to find appropriate range and then locks that range before commencing a bag read</t>
        </r>
      </text>
    </comment>
    <comment ref="D10" authorId="0">
      <text>
        <r>
          <rPr>
            <b/>
            <sz val="9"/>
            <color indexed="81"/>
            <rFont val="Tahoma"/>
            <family val="2"/>
          </rPr>
          <t>Siebler, Jorg:</t>
        </r>
        <r>
          <rPr>
            <sz val="9"/>
            <color indexed="81"/>
            <rFont val="Tahoma"/>
            <family val="2"/>
          </rPr>
          <t xml:space="preserve">
reads bag range on auto range</t>
        </r>
      </text>
    </comment>
    <comment ref="D11" authorId="0">
      <text>
        <r>
          <rPr>
            <b/>
            <sz val="9"/>
            <color indexed="81"/>
            <rFont val="Tahoma"/>
            <family val="2"/>
          </rPr>
          <t>Siebler, Jorg:</t>
        </r>
        <r>
          <rPr>
            <sz val="9"/>
            <color indexed="81"/>
            <rFont val="Tahoma"/>
            <family val="2"/>
          </rPr>
          <t xml:space="preserve">
reads bag ranges as specified in Bag components and ranges fields</t>
        </r>
      </text>
    </comment>
    <comment ref="D12" authorId="0">
      <text>
        <r>
          <rPr>
            <b/>
            <sz val="9"/>
            <color indexed="81"/>
            <rFont val="Tahoma"/>
            <family val="2"/>
          </rPr>
          <t>Siebler, Jorg:</t>
        </r>
        <r>
          <rPr>
            <sz val="9"/>
            <color indexed="81"/>
            <rFont val="Tahoma"/>
            <family val="2"/>
          </rPr>
          <t xml:space="preserve">
no calibration is performed</t>
        </r>
      </text>
    </comment>
    <comment ref="D13" authorId="0">
      <text>
        <r>
          <rPr>
            <b/>
            <sz val="9"/>
            <color indexed="81"/>
            <rFont val="Tahoma"/>
            <family val="2"/>
          </rPr>
          <t>Siebler, Jorg:</t>
        </r>
        <r>
          <rPr>
            <sz val="9"/>
            <color indexed="81"/>
            <rFont val="Tahoma"/>
            <family val="2"/>
          </rPr>
          <t xml:space="preserve">
performs a zero/span adjustment</t>
        </r>
      </text>
    </comment>
    <comment ref="C15" authorId="0">
      <text>
        <r>
          <rPr>
            <b/>
            <sz val="9"/>
            <color indexed="81"/>
            <rFont val="Tahoma"/>
            <family val="2"/>
          </rPr>
          <t>Siebler, Jorg:</t>
        </r>
        <r>
          <rPr>
            <sz val="9"/>
            <color indexed="81"/>
            <rFont val="Tahoma"/>
            <family val="2"/>
          </rPr>
          <t xml:space="preserve">
performs a rezero adjustment when the bag analyzer calibration is done</t>
        </r>
      </text>
    </comment>
    <comment ref="C16" authorId="0">
      <text>
        <r>
          <rPr>
            <b/>
            <sz val="9"/>
            <color indexed="81"/>
            <rFont val="Tahoma"/>
            <family val="2"/>
          </rPr>
          <t>Siebler, Jorg:</t>
        </r>
        <r>
          <rPr>
            <sz val="9"/>
            <color indexed="81"/>
            <rFont val="Tahoma"/>
            <family val="2"/>
          </rPr>
          <t xml:space="preserve">
performs a rezero adjustment when the drift check is done</t>
        </r>
      </text>
    </comment>
    <comment ref="D20" authorId="0">
      <text>
        <r>
          <rPr>
            <b/>
            <sz val="9"/>
            <color indexed="81"/>
            <rFont val="Tahoma"/>
            <family val="2"/>
          </rPr>
          <t>Siebler, Jorg:</t>
        </r>
        <r>
          <rPr>
            <sz val="9"/>
            <color indexed="81"/>
            <rFont val="Tahoma"/>
            <family val="2"/>
          </rPr>
          <t xml:space="preserve">
performs a device-specific Zero Span</t>
        </r>
      </text>
    </comment>
    <comment ref="C21" authorId="0">
      <text>
        <r>
          <rPr>
            <b/>
            <sz val="9"/>
            <color indexed="81"/>
            <rFont val="Tahoma"/>
            <family val="2"/>
          </rPr>
          <t>Siebler, Jorg:</t>
        </r>
        <r>
          <rPr>
            <sz val="9"/>
            <color indexed="81"/>
            <rFont val="Tahoma"/>
            <family val="2"/>
          </rPr>
          <t xml:space="preserve">
enables the calibration test specified in the Bag analyzer calibration field to be run for either adjacent phases or for a test procedure. Options are; None, Between bag reads for adjacent phases (only enabled if Fixed is selected in the Bag Range field) or Between bag reads for a Test Procedure</t>
        </r>
      </text>
    </comment>
    <comment ref="C24" authorId="0">
      <text>
        <r>
          <rPr>
            <b/>
            <sz val="9"/>
            <color indexed="81"/>
            <rFont val="Tahoma"/>
            <family val="2"/>
          </rPr>
          <t>Siebler, Jorg:</t>
        </r>
        <r>
          <rPr>
            <sz val="9"/>
            <color indexed="81"/>
            <rFont val="Tahoma"/>
            <family val="2"/>
          </rPr>
          <t xml:space="preserve">
If enabled and selected, bag calibration is done during the active driving part of the test if the selected analyzers are only used for bag read. It is done in the pre-test sequence if the selected analyzers are used for continuous measurement</t>
        </r>
      </text>
    </comment>
    <comment ref="C26" authorId="0">
      <text>
        <r>
          <rPr>
            <b/>
            <sz val="9"/>
            <color indexed="81"/>
            <rFont val="Tahoma"/>
            <family val="2"/>
          </rPr>
          <t>Siebler, Jorg:</t>
        </r>
        <r>
          <rPr>
            <sz val="9"/>
            <color indexed="81"/>
            <rFont val="Tahoma"/>
            <family val="2"/>
          </rPr>
          <t xml:space="preserve">
Select if the bag sets need to be purged prior to testing</t>
        </r>
      </text>
    </comment>
    <comment ref="C27" authorId="0">
      <text>
        <r>
          <rPr>
            <b/>
            <sz val="9"/>
            <color indexed="81"/>
            <rFont val="Tahoma"/>
            <family val="2"/>
          </rPr>
          <t>Siebler, Jorg:</t>
        </r>
        <r>
          <rPr>
            <sz val="9"/>
            <color indexed="81"/>
            <rFont val="Tahoma"/>
            <family val="2"/>
          </rPr>
          <t xml:space="preserve">
Select if the bag sets need to be purged prior to testing</t>
        </r>
      </text>
    </comment>
    <comment ref="C28" authorId="0">
      <text>
        <r>
          <rPr>
            <b/>
            <sz val="9"/>
            <color indexed="81"/>
            <rFont val="Tahoma"/>
            <family val="2"/>
          </rPr>
          <t>Siebler, Jorg:</t>
        </r>
        <r>
          <rPr>
            <sz val="9"/>
            <color indexed="81"/>
            <rFont val="Tahoma"/>
            <family val="2"/>
          </rPr>
          <t xml:space="preserve">
Select if the bag sets need to be 'dumped' after testing</t>
        </r>
      </text>
    </comment>
    <comment ref="C29" authorId="0">
      <text>
        <r>
          <rPr>
            <b/>
            <sz val="9"/>
            <color indexed="81"/>
            <rFont val="Tahoma"/>
            <family val="2"/>
          </rPr>
          <t>Siebler, Jorg:</t>
        </r>
        <r>
          <rPr>
            <sz val="9"/>
            <color indexed="81"/>
            <rFont val="Tahoma"/>
            <family val="2"/>
          </rPr>
          <t xml:space="preserve">
Select if the bag sets need to be purged after testing</t>
        </r>
      </text>
    </comment>
    <comment ref="C30" authorId="0">
      <text>
        <r>
          <rPr>
            <b/>
            <sz val="9"/>
            <color indexed="81"/>
            <rFont val="Tahoma"/>
            <family val="2"/>
          </rPr>
          <t>Siebler, Jorg:</t>
        </r>
        <r>
          <rPr>
            <sz val="9"/>
            <color indexed="81"/>
            <rFont val="Tahoma"/>
            <family val="2"/>
          </rPr>
          <t xml:space="preserve">
Select to confirm that the Continuous Lines are purged before calibration for a duration specified in the Global Settings</t>
        </r>
      </text>
    </comment>
    <comment ref="C31" authorId="0">
      <text>
        <r>
          <rPr>
            <b/>
            <sz val="9"/>
            <color indexed="81"/>
            <rFont val="Tahoma"/>
            <family val="2"/>
          </rPr>
          <t>Siebler, Jorg:</t>
        </r>
        <r>
          <rPr>
            <sz val="9"/>
            <color indexed="81"/>
            <rFont val="Tahoma"/>
            <family val="2"/>
          </rPr>
          <t xml:space="preserve">
calibration of integrated components is executed separately,
after the bag analysis for normal components during soak, if the remaining soak time is enough for the calibration</t>
        </r>
      </text>
    </comment>
    <comment ref="C32" authorId="0">
      <text>
        <r>
          <rPr>
            <b/>
            <sz val="9"/>
            <color indexed="81"/>
            <rFont val="Tahoma"/>
            <family val="2"/>
          </rPr>
          <t>Siebler, Jorg:</t>
        </r>
        <r>
          <rPr>
            <sz val="9"/>
            <color indexed="81"/>
            <rFont val="Tahoma"/>
            <family val="2"/>
          </rPr>
          <t xml:space="preserve">
completion of the soak state is blocked until the bag analysis is completed</t>
        </r>
      </text>
    </comment>
    <comment ref="B35" authorId="0">
      <text>
        <r>
          <rPr>
            <b/>
            <sz val="9"/>
            <color indexed="81"/>
            <rFont val="Tahoma"/>
            <family val="2"/>
          </rPr>
          <t>Siebler, Jorg:</t>
        </r>
        <r>
          <rPr>
            <sz val="9"/>
            <color indexed="81"/>
            <rFont val="Tahoma"/>
            <family val="2"/>
          </rPr>
          <t xml:space="preserve">
Needs to be adjusted
</t>
        </r>
      </text>
    </comment>
  </commentList>
</comments>
</file>

<file path=xl/comments5.xml><?xml version="1.0" encoding="utf-8"?>
<comments xmlns="http://schemas.openxmlformats.org/spreadsheetml/2006/main">
  <authors>
    <author>Siebler, Jorg</author>
  </authors>
  <commentList>
    <comment ref="B6" authorId="0">
      <text>
        <r>
          <rPr>
            <b/>
            <sz val="9"/>
            <color indexed="81"/>
            <rFont val="Tahoma"/>
            <family val="2"/>
          </rPr>
          <t>Siebler, Jorg:</t>
        </r>
        <r>
          <rPr>
            <sz val="9"/>
            <color indexed="81"/>
            <rFont val="Tahoma"/>
            <family val="2"/>
          </rPr>
          <t xml:space="preserve">
defines the primary dilution factor to be used and can not be blank if Sample SPCS is selected</t>
        </r>
      </text>
    </comment>
    <comment ref="B7" authorId="0">
      <text>
        <r>
          <rPr>
            <b/>
            <sz val="9"/>
            <color indexed="81"/>
            <rFont val="Tahoma"/>
            <family val="2"/>
          </rPr>
          <t>Siebler, Jorg:</t>
        </r>
        <r>
          <rPr>
            <sz val="9"/>
            <color indexed="81"/>
            <rFont val="Tahoma"/>
            <family val="2"/>
          </rPr>
          <t xml:space="preserve">
defines the secondary dilution factor to be used and can not be blank if Sample SPCS is selected</t>
        </r>
      </text>
    </comment>
    <comment ref="B8" authorId="0">
      <text>
        <r>
          <rPr>
            <b/>
            <sz val="9"/>
            <color indexed="81"/>
            <rFont val="Tahoma"/>
            <family val="2"/>
          </rPr>
          <t>Siebler, Jorg:</t>
        </r>
        <r>
          <rPr>
            <sz val="9"/>
            <color indexed="81"/>
            <rFont val="Tahoma"/>
            <family val="2"/>
          </rPr>
          <t xml:space="preserve">
if selected, the CPC/CFO Flow Calibration and Diff. Pressure Calibration are executed on the SPCS</t>
        </r>
      </text>
    </comment>
    <comment ref="B9" authorId="0">
      <text>
        <r>
          <rPr>
            <b/>
            <sz val="9"/>
            <color indexed="81"/>
            <rFont val="Tahoma"/>
            <family val="2"/>
          </rPr>
          <t>Siebler, Jorg:</t>
        </r>
        <r>
          <rPr>
            <sz val="9"/>
            <color indexed="81"/>
            <rFont val="Tahoma"/>
            <family val="2"/>
          </rPr>
          <t xml:space="preserve">
if selected a status check of the counter is performed at the start of the test</t>
        </r>
      </text>
    </comment>
    <comment ref="B10" authorId="0">
      <text>
        <r>
          <rPr>
            <b/>
            <sz val="9"/>
            <color indexed="81"/>
            <rFont val="Tahoma"/>
            <family val="2"/>
          </rPr>
          <t>Siebler, Jorg:</t>
        </r>
        <r>
          <rPr>
            <sz val="9"/>
            <color indexed="81"/>
            <rFont val="Tahoma"/>
            <family val="2"/>
          </rPr>
          <t xml:space="preserve">
if selected a status check of the counter is performed at the start of the test</t>
        </r>
      </text>
    </comment>
    <comment ref="B12" authorId="0">
      <text>
        <r>
          <rPr>
            <b/>
            <sz val="9"/>
            <color indexed="81"/>
            <rFont val="Tahoma"/>
            <family val="2"/>
          </rPr>
          <t>Siebler, Jorg:</t>
        </r>
        <r>
          <rPr>
            <sz val="9"/>
            <color indexed="81"/>
            <rFont val="Tahoma"/>
            <family val="2"/>
          </rPr>
          <t xml:space="preserve">
Use the NMOG Sampler for the specified test configuration</t>
        </r>
      </text>
    </comment>
    <comment ref="B13" authorId="0">
      <text>
        <r>
          <rPr>
            <b/>
            <sz val="9"/>
            <color indexed="81"/>
            <rFont val="Tahoma"/>
            <family val="2"/>
          </rPr>
          <t>Siebler, Jorg:</t>
        </r>
        <r>
          <rPr>
            <sz val="9"/>
            <color indexed="81"/>
            <rFont val="Tahoma"/>
            <family val="2"/>
          </rPr>
          <t xml:space="preserve">
Check for leaks during the pre-test procedure. If a leak is detected a dialog will prompt on how you can proceed</t>
        </r>
      </text>
    </comment>
    <comment ref="B16" authorId="0">
      <text>
        <r>
          <rPr>
            <b/>
            <sz val="9"/>
            <color indexed="81"/>
            <rFont val="Tahoma"/>
            <family val="2"/>
          </rPr>
          <t>Siebler, Jorg:</t>
        </r>
        <r>
          <rPr>
            <sz val="9"/>
            <color indexed="81"/>
            <rFont val="Tahoma"/>
            <family val="2"/>
          </rPr>
          <t xml:space="preserve">
To detect alcohol compounds</t>
        </r>
      </text>
    </comment>
    <comment ref="B17" authorId="0">
      <text>
        <r>
          <rPr>
            <b/>
            <sz val="9"/>
            <color indexed="81"/>
            <rFont val="Tahoma"/>
            <family val="2"/>
          </rPr>
          <t>Siebler, Jorg:</t>
        </r>
        <r>
          <rPr>
            <sz val="9"/>
            <color indexed="81"/>
            <rFont val="Tahoma"/>
            <family val="2"/>
          </rPr>
          <t xml:space="preserve">
To detect aldehyde compounds</t>
        </r>
      </text>
    </comment>
  </commentList>
</comments>
</file>

<file path=xl/comments6.xml><?xml version="1.0" encoding="utf-8"?>
<comments xmlns="http://schemas.openxmlformats.org/spreadsheetml/2006/main">
  <authors>
    <author>Siebler, Jorg</author>
  </authors>
  <commentList>
    <comment ref="B108" authorId="0">
      <text>
        <r>
          <rPr>
            <b/>
            <sz val="9"/>
            <color indexed="81"/>
            <rFont val="Tahoma"/>
            <family val="2"/>
          </rPr>
          <t>Siebler, Jorg:</t>
        </r>
        <r>
          <rPr>
            <sz val="9"/>
            <color indexed="81"/>
            <rFont val="Tahoma"/>
            <family val="2"/>
          </rPr>
          <t xml:space="preserve">
all previous error messages, logs, etc. will be cleared whenever a test starts </t>
        </r>
      </text>
    </comment>
    <comment ref="B109" authorId="0">
      <text>
        <r>
          <rPr>
            <b/>
            <sz val="9"/>
            <color indexed="81"/>
            <rFont val="Tahoma"/>
            <family val="2"/>
          </rPr>
          <t>Siebler, Jorg:</t>
        </r>
        <r>
          <rPr>
            <sz val="9"/>
            <color indexed="81"/>
            <rFont val="Tahoma"/>
            <family val="2"/>
          </rPr>
          <t xml:space="preserve">
the CVS Blower will be stopped when any test cycle enters a Soak Phase </t>
        </r>
      </text>
    </comment>
    <comment ref="B110" authorId="0">
      <text>
        <r>
          <rPr>
            <b/>
            <sz val="9"/>
            <color indexed="81"/>
            <rFont val="Tahoma"/>
            <family val="2"/>
          </rPr>
          <t>Siebler, Jorg:</t>
        </r>
        <r>
          <rPr>
            <sz val="9"/>
            <color indexed="81"/>
            <rFont val="Tahoma"/>
            <family val="2"/>
          </rPr>
          <t xml:space="preserve">
a prompt displays when a resource is initialized </t>
        </r>
      </text>
    </comment>
    <comment ref="B111" authorId="0">
      <text>
        <r>
          <rPr>
            <b/>
            <sz val="9"/>
            <color indexed="81"/>
            <rFont val="Tahoma"/>
            <family val="2"/>
          </rPr>
          <t>Siebler, Jorg:</t>
        </r>
        <r>
          <rPr>
            <sz val="9"/>
            <color indexed="81"/>
            <rFont val="Tahoma"/>
            <family val="2"/>
          </rPr>
          <t xml:space="preserve">
specifies the purge duration for Continuous Lines prior to calibration, whenever a MEXA device is initialized 
</t>
        </r>
      </text>
    </comment>
    <comment ref="B112" authorId="0">
      <text>
        <r>
          <rPr>
            <b/>
            <sz val="9"/>
            <color indexed="81"/>
            <rFont val="Tahoma"/>
            <family val="2"/>
          </rPr>
          <t>Siebler, Jorg:</t>
        </r>
        <r>
          <rPr>
            <sz val="9"/>
            <color indexed="81"/>
            <rFont val="Tahoma"/>
            <family val="2"/>
          </rPr>
          <t xml:space="preserve">
an analysis is still performed using the data that was logged prior to the test being aborted 
</t>
        </r>
      </text>
    </comment>
    <comment ref="B117" authorId="0">
      <text>
        <r>
          <rPr>
            <b/>
            <sz val="9"/>
            <color indexed="81"/>
            <rFont val="Tahoma"/>
            <family val="2"/>
          </rPr>
          <t>Siebler, Jorg:</t>
        </r>
        <r>
          <rPr>
            <sz val="9"/>
            <color indexed="81"/>
            <rFont val="Tahoma"/>
            <family val="2"/>
          </rPr>
          <t xml:space="preserve">
causes an action prompt asking the user to ignore or retry the calibration  is displayed in the event of a MEXA calibration failure 
</t>
        </r>
      </text>
    </comment>
    <comment ref="B118" authorId="0">
      <text>
        <r>
          <rPr>
            <b/>
            <sz val="9"/>
            <color indexed="81"/>
            <rFont val="Tahoma"/>
            <family val="2"/>
          </rPr>
          <t>Siebler, Jorg:</t>
        </r>
        <r>
          <rPr>
            <sz val="9"/>
            <color indexed="81"/>
            <rFont val="Tahoma"/>
            <family val="2"/>
          </rPr>
          <t xml:space="preserve">
 amend the timeout period for the MEXA calibration failure action prompt  described above if required. If this dialog times out, then a notification dialog is displayed, which will remain displayed until the next test. At the end of the test, a dialog is displayed prompting the user to dump/purge the bags if there were calibration failures for the bag read </t>
        </r>
      </text>
    </comment>
    <comment ref="B119" authorId="0">
      <text>
        <r>
          <rPr>
            <b/>
            <sz val="9"/>
            <color indexed="81"/>
            <rFont val="Tahoma"/>
            <family val="2"/>
          </rPr>
          <t>Siebler, Jorg:</t>
        </r>
        <r>
          <rPr>
            <sz val="9"/>
            <color indexed="81"/>
            <rFont val="Tahoma"/>
            <family val="2"/>
          </rPr>
          <t xml:space="preserve">
must be ticked before tests can be run with no CVS Blower in operation (must be implicitly set as there could be issues with exhaust ventilation) 
</t>
        </r>
      </text>
    </comment>
    <comment ref="B120" authorId="0">
      <text>
        <r>
          <rPr>
            <b/>
            <sz val="9"/>
            <color indexed="81"/>
            <rFont val="Tahoma"/>
            <family val="2"/>
          </rPr>
          <t>Siebler, Jorg:</t>
        </r>
        <r>
          <rPr>
            <sz val="9"/>
            <color indexed="81"/>
            <rFont val="Tahoma"/>
            <family val="2"/>
          </rPr>
          <t xml:space="preserve">
amend the timeout period if required. If the timeout is exceeded after ‘start’ then the test goes to the wait start state and any bag fill is stopped. 3 tries are made after which the test will abort 
</t>
        </r>
      </text>
    </comment>
    <comment ref="B121" authorId="0">
      <text>
        <r>
          <rPr>
            <b/>
            <sz val="9"/>
            <color indexed="81"/>
            <rFont val="Tahoma"/>
            <family val="2"/>
          </rPr>
          <t>Siebler, Jorg:</t>
        </r>
        <r>
          <rPr>
            <sz val="9"/>
            <color indexed="81"/>
            <rFont val="Tahoma"/>
            <family val="2"/>
          </rPr>
          <t xml:space="preserve">
amend the timeout period if required. The Wait for stop timeout(s) means that if the stop button is not pressed within the configured timeout from the end of the trace then the bag fill is stopped (thus simulating the Stop button press) 
</t>
        </r>
      </text>
    </comment>
    <comment ref="B123" authorId="0">
      <text>
        <r>
          <rPr>
            <b/>
            <sz val="9"/>
            <color indexed="81"/>
            <rFont val="Tahoma"/>
            <family val="2"/>
          </rPr>
          <t>Siebler, Jorg:</t>
        </r>
        <r>
          <rPr>
            <sz val="9"/>
            <color indexed="81"/>
            <rFont val="Tahoma"/>
            <family val="2"/>
          </rPr>
          <t xml:space="preserve">
the road load model selected on the dyno is cross checked at the pre-test stage with a road load model identifier entered into the VETS system </t>
        </r>
      </text>
    </comment>
    <comment ref="B125" authorId="0">
      <text>
        <r>
          <rPr>
            <b/>
            <sz val="9"/>
            <color indexed="81"/>
            <rFont val="Tahoma"/>
            <family val="2"/>
          </rPr>
          <t>Siebler, Jorg:</t>
        </r>
        <r>
          <rPr>
            <sz val="9"/>
            <color indexed="81"/>
            <rFont val="Tahoma"/>
            <family val="2"/>
          </rPr>
          <t xml:space="preserve">
the SAO pressure transducer zero operation is run during pre-test. This setting controls the pressure transducer zero operation for the CVS or DTSP device that is managing SAO 
</t>
        </r>
      </text>
    </comment>
    <comment ref="B126" authorId="0">
      <text>
        <r>
          <rPr>
            <b/>
            <sz val="9"/>
            <color indexed="81"/>
            <rFont val="Tahoma"/>
            <family val="2"/>
          </rPr>
          <t>Siebler, Jorg:</t>
        </r>
        <r>
          <rPr>
            <sz val="9"/>
            <color indexed="81"/>
            <rFont val="Tahoma"/>
            <family val="2"/>
          </rPr>
          <t xml:space="preserve">
the CVS blower is stopped before the SAO pressure transducer is zero'd. If unticked, the SAO pressure transducer can be zero'd when the blower is running 
</t>
        </r>
      </text>
    </comment>
    <comment ref="B127" authorId="0">
      <text>
        <r>
          <rPr>
            <b/>
            <sz val="9"/>
            <color indexed="81"/>
            <rFont val="Tahoma"/>
            <family val="2"/>
          </rPr>
          <t>Siebler, Jorg:</t>
        </r>
        <r>
          <rPr>
            <sz val="9"/>
            <color indexed="81"/>
            <rFont val="Tahoma"/>
            <family val="2"/>
          </rPr>
          <t xml:space="preserve">
the selected offset tables are sent to the DTSP so the flow can be corrected at the DTSP and not in the analysis 
</t>
        </r>
      </text>
    </comment>
    <comment ref="B128" authorId="0">
      <text>
        <r>
          <rPr>
            <b/>
            <sz val="9"/>
            <color indexed="81"/>
            <rFont val="Tahoma"/>
            <family val="2"/>
          </rPr>
          <t>Siebler, Jorg:</t>
        </r>
        <r>
          <rPr>
            <sz val="9"/>
            <color indexed="81"/>
            <rFont val="Tahoma"/>
            <family val="2"/>
          </rPr>
          <t xml:space="preserve">
the DTSP takes a sample proportional to the CVS flow rate </t>
        </r>
      </text>
    </comment>
    <comment ref="B129" authorId="0">
      <text>
        <r>
          <rPr>
            <b/>
            <sz val="9"/>
            <color indexed="81"/>
            <rFont val="Tahoma"/>
            <family val="2"/>
          </rPr>
          <t>Siebler, Jorg:</t>
        </r>
        <r>
          <rPr>
            <sz val="9"/>
            <color indexed="81"/>
            <rFont val="Tahoma"/>
            <family val="2"/>
          </rPr>
          <t xml:space="preserve">
the DTSP takes an ambient dilution air sample at a rate proportional to the CVS </t>
        </r>
      </text>
    </comment>
    <comment ref="B130" authorId="0">
      <text>
        <r>
          <rPr>
            <b/>
            <sz val="9"/>
            <color indexed="81"/>
            <rFont val="Tahoma"/>
            <family val="2"/>
          </rPr>
          <t>Siebler, Jorg:</t>
        </r>
        <r>
          <rPr>
            <sz val="9"/>
            <color indexed="81"/>
            <rFont val="Tahoma"/>
            <family val="2"/>
          </rPr>
          <t xml:space="preserve">
the DTSP device is used to control tail pipe pressure and the Tail pipe pressure (Pa) field is enabled </t>
        </r>
      </text>
    </comment>
    <comment ref="B136" authorId="0">
      <text>
        <r>
          <rPr>
            <b/>
            <sz val="9"/>
            <color indexed="81"/>
            <rFont val="Tahoma"/>
            <family val="2"/>
          </rPr>
          <t>Siebler, Jorg:</t>
        </r>
        <r>
          <rPr>
            <sz val="9"/>
            <color indexed="81"/>
            <rFont val="Tahoma"/>
            <family val="2"/>
          </rPr>
          <t xml:space="preserve">
determines the bag read order. This defaults to false. The variable is set on the MEXA driver in MEXADevice</t>
        </r>
      </text>
    </comment>
  </commentList>
</comments>
</file>

<file path=xl/sharedStrings.xml><?xml version="1.0" encoding="utf-8"?>
<sst xmlns="http://schemas.openxmlformats.org/spreadsheetml/2006/main" count="3659" uniqueCount="1347">
  <si>
    <t>Type</t>
  </si>
  <si>
    <t>Name</t>
  </si>
  <si>
    <t>Driver</t>
  </si>
  <si>
    <t>Version</t>
  </si>
  <si>
    <t>Communication type</t>
  </si>
  <si>
    <t>TCP/IP</t>
  </si>
  <si>
    <t>IP Address</t>
  </si>
  <si>
    <t>TCP Port</t>
  </si>
  <si>
    <t>UDP Port</t>
  </si>
  <si>
    <t>Communication protocol</t>
  </si>
  <si>
    <t>AK</t>
  </si>
  <si>
    <t>Meta</t>
  </si>
  <si>
    <t>Wireless</t>
  </si>
  <si>
    <t>Standard</t>
  </si>
  <si>
    <t>I/O</t>
  </si>
  <si>
    <t>Unit</t>
  </si>
  <si>
    <t>Range</t>
  </si>
  <si>
    <t>Pendant</t>
  </si>
  <si>
    <t>Vehicles</t>
  </si>
  <si>
    <t>Road load model identifier</t>
  </si>
  <si>
    <t>Units for vehicle model</t>
  </si>
  <si>
    <t>SI</t>
  </si>
  <si>
    <t>N-(km/h)</t>
  </si>
  <si>
    <t>US</t>
  </si>
  <si>
    <t>Highway</t>
  </si>
  <si>
    <t>Inertia</t>
  </si>
  <si>
    <t>Road load coefficient A</t>
  </si>
  <si>
    <t>Road load coefficient B</t>
  </si>
  <si>
    <t>Road load coefficient C</t>
  </si>
  <si>
    <t>Dyno</t>
  </si>
  <si>
    <t>Wheelbase</t>
  </si>
  <si>
    <t>Roll configuration</t>
  </si>
  <si>
    <t>Front wheel drive</t>
  </si>
  <si>
    <t>Rear wheel drive</t>
  </si>
  <si>
    <t>All wheel drive</t>
  </si>
  <si>
    <t>WLTP vehicle class</t>
  </si>
  <si>
    <t>Class 1</t>
  </si>
  <si>
    <t>Class 2</t>
  </si>
  <si>
    <t>Class 3a</t>
  </si>
  <si>
    <t>Class 3b</t>
  </si>
  <si>
    <t>Pollutant limits</t>
  </si>
  <si>
    <t>[List of configured Pollutant Limits]</t>
  </si>
  <si>
    <t>Powertrain</t>
  </si>
  <si>
    <t>[List of configured Powertrains]</t>
  </si>
  <si>
    <t>CANdb configuration</t>
  </si>
  <si>
    <t>[List of configured CAN Configurations]</t>
  </si>
  <si>
    <t>Fuels</t>
  </si>
  <si>
    <t>Fuel Type</t>
  </si>
  <si>
    <t>[List of configured Fuel Types in Custom Enumerations]</t>
  </si>
  <si>
    <t>H to C ratio</t>
  </si>
  <si>
    <t>O to C ratio</t>
  </si>
  <si>
    <t>S to C ratio</t>
  </si>
  <si>
    <t>N to C ratio</t>
  </si>
  <si>
    <t>Non methane HC H to C ratio</t>
  </si>
  <si>
    <t>Fuel specific gravity</t>
  </si>
  <si>
    <t>Fuel lower heating value</t>
  </si>
  <si>
    <t>R factor</t>
  </si>
  <si>
    <t>H mass fraction</t>
  </si>
  <si>
    <t>C mass fraction</t>
  </si>
  <si>
    <t>Settings</t>
  </si>
  <si>
    <t>Sample bags</t>
  </si>
  <si>
    <t>Bag set</t>
  </si>
  <si>
    <t>Certification</t>
  </si>
  <si>
    <t>Bag range</t>
  </si>
  <si>
    <t>Sniff</t>
  </si>
  <si>
    <t>Auto range</t>
  </si>
  <si>
    <t>Fixed</t>
  </si>
  <si>
    <t xml:space="preserve">Bag analyzer calibration	</t>
  </si>
  <si>
    <t>None</t>
  </si>
  <si>
    <t>Zero/Span</t>
  </si>
  <si>
    <t>Zero/Span with Drift Check</t>
  </si>
  <si>
    <t>Do rezero at calibration</t>
  </si>
  <si>
    <t>Do rezero at drift check</t>
  </si>
  <si>
    <t>Flow Stream</t>
  </si>
  <si>
    <t>Continuous calibration</t>
  </si>
  <si>
    <t>Calibration sharing</t>
  </si>
  <si>
    <t>Between bag read for adjacent phases</t>
  </si>
  <si>
    <t>Between bag reads for a test procedure</t>
  </si>
  <si>
    <t>Bag calibration at test start</t>
  </si>
  <si>
    <t>Report</t>
  </si>
  <si>
    <t>Bag purge pre-test</t>
  </si>
  <si>
    <t>CVS line leak check pre-test</t>
  </si>
  <si>
    <t>Bag dump post-test</t>
  </si>
  <si>
    <t>Bag purge post-test</t>
  </si>
  <si>
    <t>Purge lines pre-test</t>
  </si>
  <si>
    <t>Calibrate integrated components separately during soak</t>
  </si>
  <si>
    <t>Delay soak completion to allow bag analysis to complete</t>
  </si>
  <si>
    <t>Continuous Lines</t>
  </si>
  <si>
    <t>Selected</t>
  </si>
  <si>
    <t>Line name</t>
  </si>
  <si>
    <t>Component Ranges</t>
  </si>
  <si>
    <t>Integrated Components</t>
  </si>
  <si>
    <t xml:space="preserve">Sample Point </t>
  </si>
  <si>
    <t>Delay (s)</t>
  </si>
  <si>
    <t>Regulation</t>
  </si>
  <si>
    <t>Speed Units</t>
  </si>
  <si>
    <t>Miles per hour</t>
  </si>
  <si>
    <t>Kilometers per hour</t>
  </si>
  <si>
    <t>RCB correction criterion (Fraction)</t>
  </si>
  <si>
    <t>Downscaling method</t>
  </si>
  <si>
    <t>WLTP class 1</t>
  </si>
  <si>
    <t>WLTP class 2</t>
  </si>
  <si>
    <t>WLTP class 3</t>
  </si>
  <si>
    <t>Drivers Aid tolerance bands visible</t>
  </si>
  <si>
    <t>Drivers Aid target speed visible</t>
  </si>
  <si>
    <t>Fan control mode</t>
  </si>
  <si>
    <t>Proportional</t>
  </si>
  <si>
    <t>Constant Speed</t>
  </si>
  <si>
    <t>Drivers Aid minimum time - relative (s)</t>
  </si>
  <si>
    <t>Drivers Aid maximum time - relative (s)</t>
  </si>
  <si>
    <t>Blocks</t>
  </si>
  <si>
    <t>Drive Unit</t>
  </si>
  <si>
    <t>Speed tolerance (mph;km/h)</t>
  </si>
  <si>
    <t>Time tolerance (s)</t>
  </si>
  <si>
    <t>Speed out-of-tolerance time (s)</t>
  </si>
  <si>
    <t>Trace start on</t>
  </si>
  <si>
    <t>Pendant Start</t>
  </si>
  <si>
    <t>Pendant Run</t>
  </si>
  <si>
    <t>Block end on</t>
  </si>
  <si>
    <t>Trace Finish</t>
  </si>
  <si>
    <t>Pendant Stop</t>
  </si>
  <si>
    <t>Drivers Aid minimum speed</t>
  </si>
  <si>
    <t>Drivers Aid maximum speed</t>
  </si>
  <si>
    <t>Traces</t>
  </si>
  <si>
    <t>Events</t>
  </si>
  <si>
    <t>Soak</t>
  </si>
  <si>
    <t>Minimum duration (s)</t>
  </si>
  <si>
    <t>Maximum duration (s)</t>
  </si>
  <si>
    <t>Coast Down</t>
  </si>
  <si>
    <t>Minimum number of coastdowns</t>
  </si>
  <si>
    <t>Maximum number of coastdowns</t>
  </si>
  <si>
    <t>Measured data process method</t>
  </si>
  <si>
    <t>No smoothing</t>
  </si>
  <si>
    <t>Smoothing method 1</t>
  </si>
  <si>
    <t>Judge criteria</t>
  </si>
  <si>
    <t>Force</t>
  </si>
  <si>
    <t>Fraction (Force)</t>
  </si>
  <si>
    <t>Fraction (Time)</t>
  </si>
  <si>
    <t>Speed Range</t>
  </si>
  <si>
    <t>Row(s)</t>
  </si>
  <si>
    <t>Speed upper</t>
  </si>
  <si>
    <t>Speed lower</t>
  </si>
  <si>
    <t>Error limit force (N)</t>
  </si>
  <si>
    <t>Error limit fraction (%)</t>
  </si>
  <si>
    <t>IDLE Check</t>
  </si>
  <si>
    <t>Measurement time (s)</t>
  </si>
  <si>
    <t>Minimum number of idle checks</t>
  </si>
  <si>
    <t>Maximum number of idle checks</t>
  </si>
  <si>
    <t>Calibrate analyzers</t>
  </si>
  <si>
    <t>Purge analyzers</t>
  </si>
  <si>
    <t>IDLE check type</t>
  </si>
  <si>
    <t>Low</t>
  </si>
  <si>
    <t>Low and High</t>
  </si>
  <si>
    <t>IDLE high minimum value (rpm)</t>
  </si>
  <si>
    <t>Shift Lists</t>
  </si>
  <si>
    <t>List</t>
  </si>
  <si>
    <t xml:space="preserve">  PROJ_DIAG_REP_SEQ_NUM                             </t>
  </si>
  <si>
    <t xml:space="preserve">  DIAG_REPAIR_REASON_CODE                         </t>
  </si>
  <si>
    <t xml:space="preserve">  CANISTER_CONDITIONING                                                      </t>
  </si>
  <si>
    <t xml:space="preserve">  BED_VOLUME                                                                </t>
  </si>
  <si>
    <t xml:space="preserve">  WORKING_CAPACITY                                                          </t>
  </si>
  <si>
    <t xml:space="preserve">  LOAD_FLOW_RATE                                                             </t>
  </si>
  <si>
    <t xml:space="preserve">  PREP                                                                      </t>
  </si>
  <si>
    <t xml:space="preserve">  LOW_TEMP                                                                  </t>
  </si>
  <si>
    <t xml:space="preserve">  HIGH_TEMP                                                                  </t>
  </si>
  <si>
    <t xml:space="preserve">  SOAK_TIME_MIN                                                              </t>
  </si>
  <si>
    <t xml:space="preserve">  SOAK_TIME_MAX                                                              </t>
  </si>
  <si>
    <t xml:space="preserve">  BACKPRESSURE                                                              </t>
  </si>
  <si>
    <t xml:space="preserve">  AUX_DIGITAL_SCHEDULE_FILE                                                  </t>
  </si>
  <si>
    <t xml:space="preserve">  PRECON_TYPE_CODE                                                          </t>
  </si>
  <si>
    <t xml:space="preserve">  CVS_FLOW_RATE                                                             </t>
  </si>
  <si>
    <t xml:space="preserve">  DUAL_BENCH_CLEAN                                       </t>
  </si>
  <si>
    <t xml:space="preserve">  RL_TEMP                                                                   </t>
  </si>
  <si>
    <t xml:space="preserve">  RL_TEST_TYPE                                                              </t>
  </si>
  <si>
    <t>Vehicle</t>
  </si>
  <si>
    <t>Fuel</t>
  </si>
  <si>
    <t>Flags</t>
  </si>
  <si>
    <t xml:space="preserve">  DOUBLE_SAMPLE_FLAG                                    </t>
  </si>
  <si>
    <t xml:space="preserve">  SPECIATION_FLAG                                         </t>
  </si>
  <si>
    <t xml:space="preserve">  ALDEHYDE_FLAG                                             </t>
  </si>
  <si>
    <t xml:space="preserve">  ALCOHOL_FLAG                                               </t>
  </si>
  <si>
    <t xml:space="preserve">  SET_BACKPRESSURE_FLAG                             </t>
  </si>
  <si>
    <t xml:space="preserve">  N2O_SAMPLE_FLAG                                         </t>
  </si>
  <si>
    <t xml:space="preserve">  PARTICULATE_SIZER_FLAG                          </t>
  </si>
  <si>
    <t xml:space="preserve">  PARTICULATE_SPECIATION_FLAG               </t>
  </si>
  <si>
    <t xml:space="preserve">  SOOT_FLAG                                                     </t>
  </si>
  <si>
    <t xml:space="preserve">  PARTICULATE_FLAG                                        </t>
  </si>
  <si>
    <t xml:space="preserve">  HFID_FLAG                                                      </t>
  </si>
  <si>
    <t xml:space="preserve">  POWER_METER_FLAG                                                          </t>
  </si>
  <si>
    <t>Chassis Dyno</t>
  </si>
  <si>
    <t>MAHA 4WD Dyno</t>
  </si>
  <si>
    <t>MEXA-ONE C1-SL</t>
  </si>
  <si>
    <t>Emission Bench</t>
  </si>
  <si>
    <t>MEXA-7200LE</t>
  </si>
  <si>
    <t>CVS-7200</t>
  </si>
  <si>
    <t>CVS</t>
  </si>
  <si>
    <t>Gas Analyzer</t>
  </si>
  <si>
    <t>Quad Particulate Sampler</t>
  </si>
  <si>
    <t>PM</t>
  </si>
  <si>
    <t>Impinger</t>
  </si>
  <si>
    <t>GC Sample System</t>
  </si>
  <si>
    <t>Special</t>
  </si>
  <si>
    <t>X</t>
  </si>
  <si>
    <t>Channel #01</t>
  </si>
  <si>
    <t>Channel #02</t>
  </si>
  <si>
    <t>Channel #03</t>
  </si>
  <si>
    <t>Channel #04</t>
  </si>
  <si>
    <t>Channel #05</t>
  </si>
  <si>
    <t>Channel #06</t>
  </si>
  <si>
    <t>Channel #07</t>
  </si>
  <si>
    <t>Channel #08</t>
  </si>
  <si>
    <t>Channel #09</t>
  </si>
  <si>
    <t>Unclear</t>
  </si>
  <si>
    <t xml:space="preserve">Gasoline </t>
  </si>
  <si>
    <t>Diesel</t>
  </si>
  <si>
    <t>STD</t>
  </si>
  <si>
    <t>LEV</t>
  </si>
  <si>
    <t>DIESEL</t>
  </si>
  <si>
    <t>COL</t>
  </si>
  <si>
    <t>COH</t>
  </si>
  <si>
    <t>CO2</t>
  </si>
  <si>
    <t>CH4</t>
  </si>
  <si>
    <t>Integrated Drivers Aid</t>
  </si>
  <si>
    <t>Dyno diameter (mm)</t>
  </si>
  <si>
    <t>Dyno pulse per revolution</t>
  </si>
  <si>
    <t>Dyno speed update interval (sec)</t>
  </si>
  <si>
    <t>Dyno pulse counter variable path</t>
  </si>
  <si>
    <t>Maximum pulse count</t>
  </si>
  <si>
    <t>Minimum pulse count</t>
  </si>
  <si>
    <t>Dyno pulse frequency variable path</t>
  </si>
  <si>
    <t>Speed acquisition method</t>
  </si>
  <si>
    <t>Use pulse count to calculate speed</t>
  </si>
  <si>
    <t>Use frequency to calculate speed</t>
  </si>
  <si>
    <t>Use speed variable to get speed</t>
  </si>
  <si>
    <t>Distance acquisition method</t>
  </si>
  <si>
    <t>Use pulse count to calculate distance</t>
  </si>
  <si>
    <t>Use frequency to calculate distance</t>
  </si>
  <si>
    <t>Use distance variable to get distance</t>
  </si>
  <si>
    <t>Speed variable path</t>
  </si>
  <si>
    <t>Distance variable path</t>
  </si>
  <si>
    <t>Simulate speed feedback</t>
  </si>
  <si>
    <t>Simulate pendant input</t>
  </si>
  <si>
    <t>Start pendant variable path</t>
  </si>
  <si>
    <t>Run pendant variable path</t>
  </si>
  <si>
    <t>Stop pendant variable path</t>
  </si>
  <si>
    <t>Hold pendant variable path</t>
  </si>
  <si>
    <t>Start pendant to detect rising edge</t>
  </si>
  <si>
    <t>Run pendant to detect rising edge</t>
  </si>
  <si>
    <t>Stop pendant to detect rising edge</t>
  </si>
  <si>
    <t>Hold pendant to detect rising edge</t>
  </si>
  <si>
    <t>Connection</t>
  </si>
  <si>
    <t>Interface Address</t>
  </si>
  <si>
    <t>Command Port</t>
  </si>
  <si>
    <t>Data Port</t>
  </si>
  <si>
    <t>Use dedicated RTX NIC for UDP data</t>
  </si>
  <si>
    <t>EPA 75 3 Bag</t>
  </si>
  <si>
    <t>CFR86_FTP</t>
  </si>
  <si>
    <t>HWFET</t>
  </si>
  <si>
    <t>SC03</t>
  </si>
  <si>
    <t>US06</t>
  </si>
  <si>
    <t>Standard Test Cycles (US)</t>
  </si>
  <si>
    <t>CARB Naming</t>
  </si>
  <si>
    <t>EPA75 P1</t>
  </si>
  <si>
    <t>EPA75 P2</t>
  </si>
  <si>
    <t>EPA 75 3 Bag AT</t>
  </si>
  <si>
    <t>HWFET AT</t>
  </si>
  <si>
    <t>SC03 AT</t>
  </si>
  <si>
    <t>US06 AT</t>
  </si>
  <si>
    <t>Custom Fields</t>
  </si>
  <si>
    <t>Tests</t>
  </si>
  <si>
    <t>Test Procedure</t>
  </si>
  <si>
    <t>Shift List</t>
  </si>
  <si>
    <t>Configuration</t>
  </si>
  <si>
    <t>Sample Line Configuration</t>
  </si>
  <si>
    <t>Channel Set</t>
  </si>
  <si>
    <t>SAO Offset</t>
  </si>
  <si>
    <t>?</t>
  </si>
  <si>
    <t>Run export after test</t>
  </si>
  <si>
    <t>Run report after test</t>
  </si>
  <si>
    <t>Run idle check</t>
  </si>
  <si>
    <t>Idle check type</t>
  </si>
  <si>
    <t>Default</t>
  </si>
  <si>
    <t>Idle high minimum value (rpm)</t>
  </si>
  <si>
    <t>Prompt to repeat test procedure</t>
  </si>
  <si>
    <t>Wait for bag reads</t>
  </si>
  <si>
    <t>Bag pair dump duration (s)</t>
  </si>
  <si>
    <t>Run vacuum side leak check</t>
  </si>
  <si>
    <t>Run CVS blower</t>
  </si>
  <si>
    <t>Control chassis dynamometer</t>
  </si>
  <si>
    <t>Run coastdown</t>
  </si>
  <si>
    <t>Control gradient demand</t>
  </si>
  <si>
    <t>CVS ONE</t>
  </si>
  <si>
    <t>Flow Rates</t>
  </si>
  <si>
    <t>Main Venturis</t>
  </si>
  <si>
    <t>Number of flow rates</t>
  </si>
  <si>
    <t>1</t>
  </si>
  <si>
    <t>2</t>
  </si>
  <si>
    <t>3</t>
  </si>
  <si>
    <t>...</t>
  </si>
  <si>
    <t>n</t>
  </si>
  <si>
    <t>Number</t>
  </si>
  <si>
    <t>Bag fill</t>
  </si>
  <si>
    <t>Fill bag using mass flow controller</t>
  </si>
  <si>
    <t>Maximum sample flow rate (l/min)</t>
  </si>
  <si>
    <t>Minimum sample flow rate (l/min)</t>
  </si>
  <si>
    <t>Do not set bag sample flow to CVS</t>
  </si>
  <si>
    <t>Sample Venturis</t>
  </si>
  <si>
    <t>Flow rate (l/min)</t>
  </si>
  <si>
    <t>Controller Type</t>
  </si>
  <si>
    <t>7x00 Series MCU</t>
  </si>
  <si>
    <t>ONE Series DMC</t>
  </si>
  <si>
    <t>Stop to switch flow</t>
  </si>
  <si>
    <t>Reference temperature (degC)</t>
  </si>
  <si>
    <t>Line leak check</t>
  </si>
  <si>
    <t>Bag Configuration</t>
  </si>
  <si>
    <t>Bag Sets</t>
  </si>
  <si>
    <t>Number of bag sets</t>
  </si>
  <si>
    <t>4</t>
  </si>
  <si>
    <t>5</t>
  </si>
  <si>
    <t>Max bag pairs</t>
  </si>
  <si>
    <t>6</t>
  </si>
  <si>
    <t>Bag volume (l)</t>
  </si>
  <si>
    <t>Max bag fill (%)</t>
  </si>
  <si>
    <t>Individual bag leak checks</t>
  </si>
  <si>
    <t>Individual bag dump</t>
  </si>
  <si>
    <t>SAO Offsets</t>
  </si>
  <si>
    <t>Dilution air SAO</t>
  </si>
  <si>
    <t>Exhaust shut-off valve(s)</t>
  </si>
  <si>
    <t>SAO offset test type</t>
  </si>
  <si>
    <t>Standalone</t>
  </si>
  <si>
    <t>Pre-test</t>
  </si>
  <si>
    <t>IP address</t>
  </si>
  <si>
    <t>TCP port</t>
  </si>
  <si>
    <t>UDP port</t>
  </si>
  <si>
    <t>LE</t>
  </si>
  <si>
    <t>N/A</t>
  </si>
  <si>
    <t>Results Processing</t>
  </si>
  <si>
    <t>Report name</t>
  </si>
  <si>
    <t>Exporter</t>
  </si>
  <si>
    <t>Name format</t>
  </si>
  <si>
    <t>Test name</t>
  </si>
  <si>
    <t>Fuel name</t>
  </si>
  <si>
    <t>Daily Test No.</t>
  </si>
  <si>
    <t>Time</t>
  </si>
  <si>
    <t>Test procedure name</t>
  </si>
  <si>
    <t>Vehicle name</t>
  </si>
  <si>
    <t>Date</t>
  </si>
  <si>
    <t>Custom Field</t>
  </si>
  <si>
    <t>Bag Fill Settings</t>
  </si>
  <si>
    <t>When calculating bag sample rate use</t>
  </si>
  <si>
    <t>Calculated bag fill with margin</t>
  </si>
  <si>
    <t>Bag fill fraction</t>
  </si>
  <si>
    <t>Volume margin above that required for bag read (l)</t>
  </si>
  <si>
    <t>Target bag fill (%)</t>
  </si>
  <si>
    <t>Bag Read Times</t>
  </si>
  <si>
    <t>Measurement Type</t>
  </si>
  <si>
    <t>Sniff read delay (s)</t>
  </si>
  <si>
    <t>Sample bag read delay (s)</t>
  </si>
  <si>
    <t>Ambient bag read delay (s)</t>
  </si>
  <si>
    <t>Auto range time (s)</t>
  </si>
  <si>
    <t>Bag read time window (s)</t>
  </si>
  <si>
    <t>Maximum bag read time (s)</t>
  </si>
  <si>
    <t>Target stability ratio</t>
  </si>
  <si>
    <t>Zero time (s)</t>
  </si>
  <si>
    <t>Span time (s)</t>
  </si>
  <si>
    <t>Second zero time (s)</t>
  </si>
  <si>
    <t>Drift check tolerance</t>
  </si>
  <si>
    <t>GC</t>
  </si>
  <si>
    <t>GC-LE</t>
  </si>
  <si>
    <t>QCL</t>
  </si>
  <si>
    <t>Exhaust flow method</t>
  </si>
  <si>
    <t>Dilution Air Flow</t>
  </si>
  <si>
    <t>Tracer</t>
  </si>
  <si>
    <t>Measured</t>
  </si>
  <si>
    <t>Dilution Air Flow Tracer Hybrid</t>
  </si>
  <si>
    <t>Gasoline</t>
  </si>
  <si>
    <t>NMOG Settings</t>
  </si>
  <si>
    <t>Type of data provided by the chemical laboratory</t>
  </si>
  <si>
    <t>Mass in mg</t>
  </si>
  <si>
    <t>Concentration in ppm</t>
  </si>
  <si>
    <t>Manual entry volume reference temperature (degC)</t>
  </si>
  <si>
    <t>Particulate Settings</t>
  </si>
  <si>
    <t>Send flow settings to particulate sampler</t>
  </si>
  <si>
    <t>Default background concentration (mg/m3)</t>
  </si>
  <si>
    <t>Manage reference filters</t>
  </si>
  <si>
    <t>Apply buoyancy correction analysis</t>
  </si>
  <si>
    <t>Calibration weight density (kg/m3)</t>
  </si>
  <si>
    <t>Particulate filter density (kg/m3)</t>
  </si>
  <si>
    <t>Default absolute pressure during weighing (kPa)</t>
  </si>
  <si>
    <t>Default temperature during weighing (degC)</t>
  </si>
  <si>
    <t>Example</t>
  </si>
  <si>
    <t>Valid bag sets</t>
  </si>
  <si>
    <t>Tunnel</t>
  </si>
  <si>
    <t>RMT</t>
  </si>
  <si>
    <t>RawOnly</t>
  </si>
  <si>
    <t>Valid sample lines</t>
  </si>
  <si>
    <t>Humidity measurement</t>
  </si>
  <si>
    <t>RelativeHumidity</t>
  </si>
  <si>
    <t>DewPoint</t>
  </si>
  <si>
    <t>WetDry</t>
  </si>
  <si>
    <t>Default cell temp (degC)</t>
  </si>
  <si>
    <t>Default barometer (kPa)</t>
  </si>
  <si>
    <t>Default relative humidity (%)</t>
  </si>
  <si>
    <t>Default dew point temp (degC)</t>
  </si>
  <si>
    <t>Default wet bulb temp (degC)</t>
  </si>
  <si>
    <t>Dilution air humidity measurement</t>
  </si>
  <si>
    <t>FromCellAir</t>
  </si>
  <si>
    <t>Fixed dilution air humidity (g/kg)</t>
  </si>
  <si>
    <t>CVS-ONE</t>
  </si>
  <si>
    <t>MEXA-ONE C1</t>
  </si>
  <si>
    <t>AVL 483 Micro Soot</t>
  </si>
  <si>
    <t>EPA 75, 3-Bag</t>
  </si>
  <si>
    <t>EPA Highway Fuel Economy (HWFET)</t>
  </si>
  <si>
    <t>EPA US06</t>
  </si>
  <si>
    <t>EPA SC03</t>
  </si>
  <si>
    <t>MEXA-1100QL N2O</t>
  </si>
  <si>
    <t>MEXA-1400QL NX</t>
  </si>
  <si>
    <t>MEXA-2000 SPCS</t>
  </si>
  <si>
    <t>PN</t>
  </si>
  <si>
    <t xml:space="preserve">  SHIFT_SCHEDULE_FILE</t>
  </si>
  <si>
    <t>WHEEL_BASE  -&gt;  What are the units? Inches? Feet?</t>
  </si>
  <si>
    <t>PROJ_VEH_TEST_TYPE_SEQ_NUM</t>
  </si>
  <si>
    <t>ProjectVehicleTestTypeSequenceNumber</t>
  </si>
  <si>
    <t>Grade Schedule File</t>
  </si>
  <si>
    <t>Used Robot Driver</t>
  </si>
  <si>
    <t>Test Date</t>
  </si>
  <si>
    <t>Modified By</t>
  </si>
  <si>
    <t>Modification Date</t>
  </si>
  <si>
    <t>Comments</t>
  </si>
  <si>
    <t>Test Stand Code</t>
  </si>
  <si>
    <t>Procedure Code</t>
  </si>
  <si>
    <t>Priority</t>
  </si>
  <si>
    <t>Suggested Test Cell</t>
  </si>
  <si>
    <t>Test Cell</t>
  </si>
  <si>
    <t>CVS VVS Schedule File</t>
  </si>
  <si>
    <t>Auxiliary Analog Output Schedule File</t>
  </si>
  <si>
    <t>Aldehyde Sampling Schedule File</t>
  </si>
  <si>
    <t>Augmented Braking Schedule File</t>
  </si>
  <si>
    <t>Violation Schedule File</t>
  </si>
  <si>
    <t>Supervisor ID</t>
  </si>
  <si>
    <t>Operator ID</t>
  </si>
  <si>
    <t>Driver ID</t>
  </si>
  <si>
    <t>Test Type Code</t>
  </si>
  <si>
    <t>Vehicle Project Sequence Number</t>
  </si>
  <si>
    <t>Project ID</t>
  </si>
  <si>
    <t>Test ID Number</t>
  </si>
  <si>
    <t>VTS Test Name</t>
  </si>
  <si>
    <t>VTS Status</t>
  </si>
  <si>
    <t xml:space="preserve">                                                                </t>
  </si>
  <si>
    <t xml:space="preserve">  ?</t>
  </si>
  <si>
    <t>Batch ID</t>
  </si>
  <si>
    <t>Sample ID</t>
  </si>
  <si>
    <t>F4A</t>
  </si>
  <si>
    <t>F4</t>
  </si>
  <si>
    <t>F3</t>
  </si>
  <si>
    <t>F2</t>
  </si>
  <si>
    <t>Dilution Factor Code</t>
  </si>
  <si>
    <t>Gasoline Equivalent Conversion Factor</t>
  </si>
  <si>
    <t>Natural Gas Density</t>
  </si>
  <si>
    <t>Fuel HC Carbon Mass Fraction (%Mass)</t>
  </si>
  <si>
    <t>Natural Gas CO2 Mass Fraction (%Mass)</t>
  </si>
  <si>
    <t>Drive Wheels Type Code</t>
  </si>
  <si>
    <t>Dyno Synch</t>
  </si>
  <si>
    <t>Dyno Direction</t>
  </si>
  <si>
    <t>Odometer Units</t>
  </si>
  <si>
    <t>Road Load Force (N)</t>
  </si>
  <si>
    <t>Equivalent Inertia Mass (kg)</t>
  </si>
  <si>
    <t>Actual Tire Presure</t>
  </si>
  <si>
    <t>Tire Size</t>
  </si>
  <si>
    <t>Tire Type</t>
  </si>
  <si>
    <t>Dyno Coefficient Unit</t>
  </si>
  <si>
    <t>Dyno Coefficient N</t>
  </si>
  <si>
    <t>Dyno Coefficient D</t>
  </si>
  <si>
    <t>Dyno Coefficient Set Number</t>
  </si>
  <si>
    <t>Mileage Accumulation</t>
  </si>
  <si>
    <t>Horsepower Actual Value</t>
  </si>
  <si>
    <t>Target Level Type</t>
  </si>
  <si>
    <t>Road Load Coefficient N (lbs)</t>
  </si>
  <si>
    <t>Target Level Unit</t>
  </si>
  <si>
    <t>Road Load Coefficient D (rad)</t>
  </si>
  <si>
    <t>Horsepower Modifier</t>
  </si>
  <si>
    <t>EO Horsepower Flag</t>
  </si>
  <si>
    <t>EO Horsepower</t>
  </si>
  <si>
    <t>EO Inertia</t>
  </si>
  <si>
    <t>Vehicle Class Code</t>
  </si>
  <si>
    <t>State Code</t>
  </si>
  <si>
    <t>License Number</t>
  </si>
  <si>
    <t>Number of Cylinders</t>
  </si>
  <si>
    <t>Transmission Type</t>
  </si>
  <si>
    <t>Engine Displacement (ltr)</t>
  </si>
  <si>
    <t>Engine Family Number</t>
  </si>
  <si>
    <t>Manufacturer Division Name</t>
  </si>
  <si>
    <t>Manufacturer Name</t>
  </si>
  <si>
    <t>Modal Type</t>
  </si>
  <si>
    <t>Model Year</t>
  </si>
  <si>
    <t>Odometer</t>
  </si>
  <si>
    <t>VIN</t>
  </si>
  <si>
    <t>Vehicle ID</t>
  </si>
  <si>
    <t>VEHICLE_ID</t>
  </si>
  <si>
    <t xml:space="preserve">ODOMETER                       </t>
  </si>
  <si>
    <t>MODEL_YEAR</t>
  </si>
  <si>
    <t>MODEL_TYPE</t>
  </si>
  <si>
    <t>MFR_NAME</t>
  </si>
  <si>
    <t>DIVISION_NAME</t>
  </si>
  <si>
    <t>ENGINE_FAMILY</t>
  </si>
  <si>
    <t>ENGINE_DISP_VOL_LITRE</t>
  </si>
  <si>
    <t>TRANS_TYPE_CODE</t>
  </si>
  <si>
    <t>CYLINDER_NUM</t>
  </si>
  <si>
    <t>LICENSE_NUM</t>
  </si>
  <si>
    <t>STATE</t>
  </si>
  <si>
    <t>VEH_CLASS_CODE</t>
  </si>
  <si>
    <t>EO_INERTIA_WEIGHT</t>
  </si>
  <si>
    <t xml:space="preserve">EO_HORSEPOWER  </t>
  </si>
  <si>
    <t>EO_HORSEPOWER_FLAG</t>
  </si>
  <si>
    <t xml:space="preserve">ADD_10_PERCENT                   </t>
  </si>
  <si>
    <t xml:space="preserve">TARGET_COEFF_D                </t>
  </si>
  <si>
    <t xml:space="preserve">TARGET_LEVEL_UNIT    </t>
  </si>
  <si>
    <t xml:space="preserve">TARGET_COEFF_N </t>
  </si>
  <si>
    <t>TARGET_LEVEL_TYPE</t>
  </si>
  <si>
    <t xml:space="preserve">HP_ACTUAL_VALUE </t>
  </si>
  <si>
    <t xml:space="preserve">MILEAGE_ACCUMULATION  </t>
  </si>
  <si>
    <t xml:space="preserve">DYNO_COEFF_SET_NUMBER    </t>
  </si>
  <si>
    <t>DYNO_COEFF_D</t>
  </si>
  <si>
    <t>DYNO_COEFF_N</t>
  </si>
  <si>
    <t xml:space="preserve">DYNO_COEFF_UNIT              </t>
  </si>
  <si>
    <t>TIRE_TYPE</t>
  </si>
  <si>
    <t>TIRE_SIZE</t>
  </si>
  <si>
    <t>ACTUAL_TIRE_PRESSURE</t>
  </si>
  <si>
    <t>EQUIV_INERTIA_MASS</t>
  </si>
  <si>
    <t>ROAD_LOAD_FORCE</t>
  </si>
  <si>
    <t>ODOMETER_UNIT_CODE</t>
  </si>
  <si>
    <t>DYNO_DIRECTION</t>
  </si>
  <si>
    <t>DYNO_SYNCH</t>
  </si>
  <si>
    <t>DRIVE_WHEELS_TYPE_CODE</t>
  </si>
  <si>
    <t>"VTS " +  TEST_ID_NUM</t>
  </si>
  <si>
    <t>TARGET_COEFF_UNIT</t>
  </si>
  <si>
    <t>HIGHWAY_INERTIA_WEIGHT</t>
  </si>
  <si>
    <t>TARGET_COEFF_A</t>
  </si>
  <si>
    <t>TARGET_COEFF_B</t>
  </si>
  <si>
    <t>TARGET_COEFF_C</t>
  </si>
  <si>
    <t>ACTUAL_INERTIA_WEIGHT</t>
  </si>
  <si>
    <t>DYNO_COEFF_A</t>
  </si>
  <si>
    <t>DYNO_COEFF_B</t>
  </si>
  <si>
    <t>DYNO_COEFF_C</t>
  </si>
  <si>
    <t>WHEEL_BASE</t>
  </si>
  <si>
    <t>DRIVE_MODE</t>
  </si>
  <si>
    <t>CWF</t>
  </si>
  <si>
    <t xml:space="preserve">CO2_NG    </t>
  </si>
  <si>
    <t>HC_CWF</t>
  </si>
  <si>
    <t>DILUTION_FACTOR_CODE</t>
  </si>
  <si>
    <t>SAMPLE_ID</t>
  </si>
  <si>
    <t>BATCH_ID</t>
  </si>
  <si>
    <t>FUEL_TYPE</t>
  </si>
  <si>
    <t>H_C_RATIO</t>
  </si>
  <si>
    <t>NMHC_CWF</t>
  </si>
  <si>
    <t>SPECIFIC_GRAVITY_60F</t>
  </si>
  <si>
    <t>NHV</t>
  </si>
  <si>
    <t>DENSITY_NG</t>
  </si>
  <si>
    <t>GECF</t>
  </si>
  <si>
    <t>TEST_NAME</t>
  </si>
  <si>
    <t>TEST_STATUS</t>
  </si>
  <si>
    <t>VEH_PROJ_SEQ_NUM</t>
  </si>
  <si>
    <t>TEST_TYPE_CODE</t>
  </si>
  <si>
    <t>DRIVER_ID</t>
  </si>
  <si>
    <t>OPERATOR_ID</t>
  </si>
  <si>
    <t>TEST_CELL</t>
  </si>
  <si>
    <t>SUGGESTED_TEST_CELL</t>
  </si>
  <si>
    <t>MODIFICATION_DATE</t>
  </si>
  <si>
    <t>TEST_DATE</t>
  </si>
  <si>
    <t>"VTS " + TEST_ID_NUM</t>
  </si>
  <si>
    <t>TEST_ID_NUM</t>
  </si>
  <si>
    <t>PROJECT_ID</t>
  </si>
  <si>
    <t>SUPERVISOR_ID</t>
  </si>
  <si>
    <t>VIOLATION_SCHEDULE_FILE</t>
  </si>
  <si>
    <t>AUG_BRAKING_SCHEDULE_FILE</t>
  </si>
  <si>
    <t>ALDEHYDE_SCHEDULE_FILE</t>
  </si>
  <si>
    <t>AUX_ANALOG_SCHEDULE_FILE</t>
  </si>
  <si>
    <t>CVS_VVS_SCHEDULE_FILE</t>
  </si>
  <si>
    <t>PRIORITY</t>
  </si>
  <si>
    <t>PROCEDURE_CODE</t>
  </si>
  <si>
    <t>TEST_STAND_CODE</t>
  </si>
  <si>
    <t>COMMENTS</t>
  </si>
  <si>
    <t>MODIFIED_BY</t>
  </si>
  <si>
    <t>USED_ROBOT_DRIVER</t>
  </si>
  <si>
    <t>GRADE_SCHEDULE_FILE</t>
  </si>
  <si>
    <t>-</t>
  </si>
  <si>
    <t>Has clean and dirty line</t>
  </si>
  <si>
    <t>dirty for phase 1</t>
  </si>
  <si>
    <t>List
Flow rate (m3/min)</t>
  </si>
  <si>
    <t>TEST_NAME (needs to be alligned)</t>
  </si>
  <si>
    <t>Default tbd</t>
  </si>
  <si>
    <t>TS:VETS_IFC1_PI01Value</t>
  </si>
  <si>
    <t>TS:VETS_IFC1_PI02Value</t>
  </si>
  <si>
    <t>TS:SR_ExternalVehicleController_RoadSpeed</t>
  </si>
  <si>
    <t>TS:SR_ExternalVehicleController_Distance</t>
  </si>
  <si>
    <t>General</t>
  </si>
  <si>
    <t>Add to report</t>
  </si>
  <si>
    <t>TS:CARBCell1.VETS_CANopen IO Subsystem_WAGO 337 4DI 4DO 16AI 4AO 2UC_DI01</t>
  </si>
  <si>
    <t>TS:CARBCell1.VETS_CANopen IO Subsystem_WAGO 337 4DI 4DO 16AI 4AO 2UC_DI02</t>
  </si>
  <si>
    <t>TS:CARBCell1.VETS_CANopen IO Subsystem_WAGO 337 4DI 4DO 16AI 4AO 2UC_DI03</t>
  </si>
  <si>
    <t>10.114.162.114</t>
  </si>
  <si>
    <t>10.114.162.117</t>
  </si>
  <si>
    <t>10.114.162.113</t>
  </si>
  <si>
    <t>10.114.162.115</t>
  </si>
  <si>
    <t>10.114.162.223</t>
  </si>
  <si>
    <t>10.114.162.222</t>
  </si>
  <si>
    <t>10.114.162.118</t>
  </si>
  <si>
    <t>10.114.162.71</t>
  </si>
  <si>
    <t>Weatherstation</t>
  </si>
  <si>
    <t>10.114.162.111</t>
  </si>
  <si>
    <t>STARS VETS</t>
  </si>
  <si>
    <t>10.114.162.103</t>
  </si>
  <si>
    <t>-10</t>
  </si>
  <si>
    <t>DriveUnit</t>
  </si>
  <si>
    <t>EPA75 P1
EPA75 P2</t>
  </si>
  <si>
    <t>DriveUnit1</t>
  </si>
  <si>
    <t>CoastDown</t>
  </si>
  <si>
    <t xml:space="preserve">Speed Range
</t>
  </si>
  <si>
    <r>
      <t xml:space="preserve">TSI UCPC
</t>
    </r>
    <r>
      <rPr>
        <sz val="10"/>
        <color rgb="FFFF0000"/>
        <rFont val="Calibri"/>
        <family val="2"/>
        <scheme val="minor"/>
      </rPr>
      <t>Interface tbd</t>
    </r>
  </si>
  <si>
    <r>
      <t xml:space="preserve">TSI EEPS
</t>
    </r>
    <r>
      <rPr>
        <sz val="10"/>
        <color rgb="FFFF0000"/>
        <rFont val="Calibri"/>
        <family val="2"/>
        <scheme val="minor"/>
      </rPr>
      <t>Interface tbd</t>
    </r>
  </si>
  <si>
    <t>Gasoline Bag Only (Standard)</t>
  </si>
  <si>
    <t>Select Report Template</t>
  </si>
  <si>
    <t>SPCS 2x00</t>
  </si>
  <si>
    <t>PND1 settings</t>
  </si>
  <si>
    <t>Number of valid PND1</t>
  </si>
  <si>
    <t xml:space="preserve">List	</t>
  </si>
  <si>
    <t>Dilution Factor</t>
  </si>
  <si>
    <t>PND2 settings</t>
  </si>
  <si>
    <t>Number of valid PND2</t>
  </si>
  <si>
    <t>PDU</t>
  </si>
  <si>
    <t>Bleedoff rate (l/min)</t>
  </si>
  <si>
    <t>Measure stabilize time (s)</t>
  </si>
  <si>
    <t>Purge time (s)</t>
  </si>
  <si>
    <t>7721R</t>
  </si>
  <si>
    <t>NMOG Sampler</t>
  </si>
  <si>
    <t>Use NMOG sampler</t>
  </si>
  <si>
    <t>Leak check</t>
  </si>
  <si>
    <t>Flow rate mode</t>
  </si>
  <si>
    <t>Fixed flow rate (l/min)</t>
  </si>
  <si>
    <t>Proportional flow (l/min)</t>
  </si>
  <si>
    <t>Sample alcohol</t>
  </si>
  <si>
    <t>Sample aldehyde</t>
  </si>
  <si>
    <t>MEXA 1400</t>
  </si>
  <si>
    <t>Use Device</t>
  </si>
  <si>
    <t>Pre Test Calibrate</t>
  </si>
  <si>
    <t>Post Test Purge</t>
  </si>
  <si>
    <t>Purge Time</t>
  </si>
  <si>
    <t>Purge A</t>
  </si>
  <si>
    <t>Purge B</t>
  </si>
  <si>
    <t>Micro II Impinger</t>
  </si>
  <si>
    <t>Interface Version</t>
  </si>
  <si>
    <t>2.7</t>
  </si>
  <si>
    <t>3.0</t>
  </si>
  <si>
    <t>Number of Impinger pairs</t>
  </si>
  <si>
    <t>Return sample to CVS</t>
  </si>
  <si>
    <t>Raw measurement</t>
  </si>
  <si>
    <t>Bleed off (l/min)</t>
  </si>
  <si>
    <t>Bleed off return</t>
  </si>
  <si>
    <t>SPCS</t>
  </si>
  <si>
    <t>Sample SPCS</t>
  </si>
  <si>
    <t>PND1 to set</t>
  </si>
  <si>
    <t>PND2 to set</t>
  </si>
  <si>
    <t>CPC/CFO Flow Cal. and Diff Pressure Cal.</t>
  </si>
  <si>
    <t>CPC status check</t>
  </si>
  <si>
    <t>System status check</t>
  </si>
  <si>
    <t>MEXA-1100QL NO2</t>
  </si>
  <si>
    <t>SPCS2000</t>
  </si>
  <si>
    <t>TSI</t>
  </si>
  <si>
    <t>AVL483</t>
  </si>
  <si>
    <t>Quad PM</t>
  </si>
  <si>
    <t>CFR1066</t>
  </si>
  <si>
    <t>STARS VETS Variable</t>
  </si>
  <si>
    <t>CS- Cold Start</t>
  </si>
  <si>
    <t>Ph1- Phase 1 of FTP</t>
  </si>
  <si>
    <t>F- Flowrate Set Only</t>
  </si>
  <si>
    <t>O : Optional</t>
  </si>
  <si>
    <t>- : Not used</t>
  </si>
  <si>
    <t>X : Active</t>
  </si>
  <si>
    <t>Ph1/CS</t>
  </si>
  <si>
    <t>Bag</t>
  </si>
  <si>
    <t>Bag &amp; Dil</t>
  </si>
  <si>
    <t>Dilute</t>
  </si>
  <si>
    <t>O</t>
  </si>
  <si>
    <t>F</t>
  </si>
  <si>
    <t>Gasoline Bag (SULEV) + Continuous Dilute</t>
  </si>
  <si>
    <t>Integ , Dil &amp;
amb bag</t>
  </si>
  <si>
    <t>Dil/Bag</t>
  </si>
  <si>
    <t>Diesel Bag (Standard) + Continuous Dilute</t>
  </si>
  <si>
    <t>Gasoline Bag (Standard) + Continuous Dilute</t>
  </si>
  <si>
    <t>Gasoline Bag (SULEV)</t>
  </si>
  <si>
    <t>Integ &amp;
amb bag</t>
  </si>
  <si>
    <t>Diesel Bag (Standard)</t>
  </si>
  <si>
    <t>Ethanol Bag (Standard)</t>
  </si>
  <si>
    <t>Gasoline Bag (Standard)</t>
  </si>
  <si>
    <t>Sample Bag 9
S14</t>
  </si>
  <si>
    <t>Sample Bag 8
S14</t>
  </si>
  <si>
    <t>Sample Bag 7
S14</t>
  </si>
  <si>
    <t>Sample Bag 6
S13</t>
  </si>
  <si>
    <t>Sample Bag 10
S11</t>
  </si>
  <si>
    <t>Ambient Bag 5
A5</t>
  </si>
  <si>
    <t>Ambient Bag 4
A4</t>
  </si>
  <si>
    <t>Ambient Bag 3
A3</t>
  </si>
  <si>
    <t>Ambient Bag 2
A2</t>
  </si>
  <si>
    <t>Ambient Bag 1
A1</t>
  </si>
  <si>
    <t>Sample Bag 4
S4</t>
  </si>
  <si>
    <t>Sample Bag 3
S3</t>
  </si>
  <si>
    <t>Sample Bag 2
S2</t>
  </si>
  <si>
    <t>Sample Bag 1
S1</t>
  </si>
  <si>
    <t>O2
MPA-01</t>
  </si>
  <si>
    <t>THC
FIA-01SL</t>
  </si>
  <si>
    <t>CH4
GFA-01SL</t>
  </si>
  <si>
    <t>NOx
CLA-01SL</t>
  </si>
  <si>
    <t>CO2 (L)
AIA-32</t>
  </si>
  <si>
    <t>CO(L)
 AIA-11</t>
  </si>
  <si>
    <t>1100QL-N2O</t>
  </si>
  <si>
    <t>H.THC
FIA-01-O</t>
  </si>
  <si>
    <t>THC
FIA-01</t>
  </si>
  <si>
    <t>CH4
GFA-01</t>
  </si>
  <si>
    <t>NOx
CLA-01</t>
  </si>
  <si>
    <t>CO(H)/CO2 
AIA-33</t>
  </si>
  <si>
    <t>AVL 483 
Soot</t>
  </si>
  <si>
    <t>TSI EEPS</t>
  </si>
  <si>
    <t>TSI UPC</t>
  </si>
  <si>
    <t>MEXA-2000SPCS
Particle Count</t>
  </si>
  <si>
    <t>Quad-PM</t>
  </si>
  <si>
    <t>GC-Sampler</t>
  </si>
  <si>
    <r>
      <t xml:space="preserve">MEXA-1400QL-NX
</t>
    </r>
    <r>
      <rPr>
        <sz val="8"/>
        <color theme="1"/>
        <rFont val="Calibri"/>
        <family val="2"/>
      </rPr>
      <t>NO, NO2, N2O, NH3</t>
    </r>
    <r>
      <rPr>
        <sz val="9"/>
        <color theme="1"/>
        <rFont val="Calibri"/>
        <family val="2"/>
        <scheme val="minor"/>
      </rPr>
      <t xml:space="preserve">
 (Direct)</t>
    </r>
  </si>
  <si>
    <t>MEXA-1100QL-N2O
 (Bag or Contin)</t>
  </si>
  <si>
    <t>CVS-7200
 (SULEV)</t>
  </si>
  <si>
    <t>MEXA-ONE-C1-SL
 (Bag)</t>
  </si>
  <si>
    <t>CVS-ONE
(STANDARD)</t>
  </si>
  <si>
    <t>MEXA-ONE-C1
(Bag or Contin)</t>
  </si>
  <si>
    <t>CVS-7200 (SULEV)</t>
  </si>
  <si>
    <t>CVS-ONE (STANDARD)</t>
  </si>
  <si>
    <t>MEXA-ONE-C1-SL SULEV Bag Bench</t>
  </si>
  <si>
    <t>MEXA-ONE-C1-OV  Standard/Conti Bench</t>
  </si>
  <si>
    <t>§ 1066.816 Vehicle</t>
  </si>
  <si>
    <t>emissions.</t>
  </si>
  <si>
    <t>subpart J of this part for continuing the test sequence to measure evaporative or refueling</t>
  </si>
  <si>
    <t>(3) This completes the procedure for measuring FTP exhaust emissions. See § 1066.801 and</t>
  </si>
  <si>
    <t>conclude the testing as described in paragraphs (d)(1)(iii) and (iv) of this section.</t>
  </si>
  <si>
    <t>(iii) To include bag 4 measurement, operate the vehicles over the remainder of the UDDS and</t>
  </si>
  <si>
    <t>hot-start UDDS.</t>
  </si>
  <si>
    <t>any integrating devices at the end of the deceleration scheduled to occur 505 seconds into the</t>
  </si>
  <si>
    <t>simultaneously stop all hot-start sampling and recording, including background sampling, and</t>
  </si>
  <si>
    <t>seconds of the UDDS. For tests that do not include bag 4 operation, turn off the engine and</t>
  </si>
  <si>
    <t>(ii) Repeat the steps in paragraph (d)(1)(ii) of this section. Operate the vehicle over the first 505</t>
  </si>
  <si>
    <t>UDDS.</t>
  </si>
  <si>
    <t>(i) Initiate the hot-start test (9 to 11) minutes after the end of the sample period for the cold-start</t>
  </si>
  <si>
    <t>(2) Take the following steps for the hot-start test:</t>
  </si>
  <si>
    <t>second delay is intended to account for sampling system transport.</t>
  </si>
  <si>
    <t>interval and indicate the end of the stabilized interval in the recorded data. Note that the 5</t>
  </si>
  <si>
    <t>recording, including background sampling. Stop any integrating devices for the stabilized</t>
  </si>
  <si>
    <t>(iv) Five seconds after the engine stops running, stop all stabilized interval sampling and</t>
  </si>
  <si>
    <t>seconds after the start of the driving schedule).</t>
  </si>
  <si>
    <t>the engine off 2 seconds after the end of the last deceleration in the stabilized interval (1,369</t>
  </si>
  <si>
    <t>interval in the recorded data. Operate the vehicle over the remainder of the UDDS. Turn</t>
  </si>
  <si>
    <t>sampling. Reset integrating devices for the stabilized interval and indicate the end of the coldstart</t>
  </si>
  <si>
    <t>interval, stopping all cold-start transient interval sampling and recording, including background</t>
  </si>
  <si>
    <t>simultaneously switch all the sample flows from the cold-start transient interval to the stabilized</t>
  </si>
  <si>
    <t>(iii) At the end of the deceleration scheduled to occur 505 seconds into the cold-start UDDS,</t>
  </si>
  <si>
    <t>gear 15 seconds after engine starting, which is 5 seconds before the first acceleration.</t>
  </si>
  <si>
    <t>(ii) Start sampling and recording simultaneously with starting the vehicle. Place the vehicle in</t>
  </si>
  <si>
    <t>(2) You may collect PM on one filter over the cold-start UDDS and on a separate filter over the</t>
  </si>
  <si>
    <t>12 to 36 hour soak period.</t>
  </si>
  <si>
    <t>(i) Precondition the vehicle as described in § 1066.816. Initiate the cold-start test following the</t>
  </si>
  <si>
    <t>(1) Take the following steps for the cold-start test:</t>
  </si>
  <si>
    <t>1066.410 through 1066.425, subject to the following exceptions and additional provisions:</t>
  </si>
  <si>
    <t>(d) Test sequence. Follow the exhaust emission measurement procedures specified in §§</t>
  </si>
  <si>
    <t>of the cold-start test (bag 2) in its place.</t>
  </si>
  <si>
    <t>(3) You may omit the stabilized portion of the hot-start test (bag 4) and use the stabilized portion</t>
  </si>
  <si>
    <t>(2) You may sample emissions separately for transient and stabilized portions of any UDDS.</t>
  </si>
  <si>
    <t>(1) You may collect a single sample for a full UDDS (cold-start or hot-start).</t>
  </si>
  <si>
    <r>
      <rPr>
        <sz val="11"/>
        <color rgb="FFFF0000"/>
        <rFont val="Calibri"/>
        <family val="2"/>
      </rPr>
      <t>(c) Gaseous sampling options.</t>
    </r>
    <r>
      <rPr>
        <sz val="10"/>
        <rFont val="Arial"/>
        <family val="2"/>
      </rPr>
      <t xml:space="preserve"> Collect gaseous samples using any of the following procedures:</t>
    </r>
  </si>
  <si>
    <t>secondary dilution air.</t>
  </si>
  <si>
    <t>dilute exhaust sampling rate from the CVS and compensate for that by increasing the amount of</t>
  </si>
  <si>
    <t>of the hot-start UDDS value. For constant-volume samplers, this requires that you decrease the</t>
  </si>
  <si>
    <t>the sample flow rate from the exhaust (or diluted exhaust) such that the value is reduced to 75 %</t>
  </si>
  <si>
    <t>UDDS by increasing the overall dilution ratio for the cold-start UDDS. To do this, reduce</t>
  </si>
  <si>
    <t>(ii) Maintain a constant sampling system flow rate over the filter for both the cold-start and hotstart</t>
  </si>
  <si>
    <t>on weighting targets of 0.75 for the cold-start UDDS and 1.0 for the hot-start UDDS.</t>
  </si>
  <si>
    <t>(i) Adjust your sampling system flow rate over the filter to weight the filter face velocity based</t>
  </si>
  <si>
    <t>using one of the following methods:</t>
  </si>
  <si>
    <t>(5) You may collect PM on a single filter over the cold-start UDDS and the full hot-start UDDS</t>
  </si>
  <si>
    <t>of secondary dilution air.</t>
  </si>
  <si>
    <t>the dilute exhaust sampling rate from the CVS and compensate for that by increasing the amount</t>
  </si>
  <si>
    <t>respectively, of the bag 2 values. For constant-volume samplers, this requires that you decrease</t>
  </si>
  <si>
    <t>from the exhaust (or diluted exhaust) such that the value is reduced to 43 % and 57 %,</t>
  </si>
  <si>
    <t>by increasing overall dilution ratios for bag 1 and bag 3. To do this, reduce the sample flow rate</t>
  </si>
  <si>
    <t>(ii) Maintain a constant sampling system flow rate over the filter for all three intervals of the FTP</t>
  </si>
  <si>
    <t>for bag 3.</t>
  </si>
  <si>
    <t>three intervals of the FTP based on weighting targets of 0.43 for bag 1, 1.0 for bag 2, and 0.57</t>
  </si>
  <si>
    <t>(i) Adjust your sampling system flow rate over the filter to weight the filter face velocity over the</t>
  </si>
  <si>
    <t>the hot-start UDDS using one of the following methods:</t>
  </si>
  <si>
    <t>(4) You may collect PM on a single filter over the cold-start UDDS and the first 505 seconds of</t>
  </si>
  <si>
    <t>measurements during the stabilized portion of the cold-start UDDS.</t>
  </si>
  <si>
    <t>505 seconds of the hot-start UDDS (bag 2 and bag 3). Note that this option involves duplicate</t>
  </si>
  <si>
    <t>separate filter over the 867 seconds of the stabilized portion of the cold-start UDDS and the first</t>
  </si>
  <si>
    <t>(3) You may collect PM on one filter over the cold-start UDDS (bag 1 and bag 2) and on a</t>
  </si>
  <si>
    <t>portion of the cold-start test (bag 2) in its place.</t>
  </si>
  <si>
    <t>bags. You may omit the stabilized portion of the hot-start test (bag 4) and use the stabilized</t>
  </si>
  <si>
    <t>UDDS and the hot-start UDDS. This may either be done by sampling with three bags or four</t>
  </si>
  <si>
    <t>(1) You may collect a separate PM sample for transient and stabilized portions of the cold-start</t>
  </si>
  <si>
    <t>flow rates below the highest expected flow rate.</t>
  </si>
  <si>
    <t>1065.140(e)(3) apply, except that you may exceed an overall residence time of 5.5 s for sample</t>
  </si>
  <si>
    <t>paragraphs (b)(4) or (5) of this section, the residence time requirements in 40 CFR</t>
  </si>
  <si>
    <t>requirements of § 1066.110(b)(2)(iii)(B). If you collect PM using the procedures specified in</t>
  </si>
  <si>
    <t>intervals. Use the appropriate equations in § 1066.610 to show that you meet the dilution factor</t>
  </si>
  <si>
    <t>change the nominal CVS flowrates or secondary dilution ratios between FTP or UDDS test</t>
  </si>
  <si>
    <r>
      <t xml:space="preserve">decrease as a percentage of the weighting factor if the weighting factor is less than 1.0 and </t>
    </r>
    <r>
      <rPr>
        <sz val="11"/>
        <color rgb="FFFF0000"/>
        <rFont val="Calibri"/>
        <family val="2"/>
      </rPr>
      <t>do not</t>
    </r>
  </si>
  <si>
    <t>target of 1.0 to meet the requirements of § 1066.110(b)(2)(iii)(C). Allow filter face velocity to</t>
  </si>
  <si>
    <t>section. For procedures involving flow weighting, set the filter face velocity to a weighting</t>
  </si>
  <si>
    <t>described in § 1066.110(b)(2)(iii)(C), except as specified in paragraphs (b)(4) and (5) of this</t>
  </si>
  <si>
    <t>composite emissions. Testing must meet the requirements related to filter face velocity as</t>
  </si>
  <si>
    <t>through (5) of this section and use the corresponding equation in § 1066.820 to calculate FTP</t>
  </si>
  <si>
    <t>(b) PM sampling options. Collect PM using any of the procedures specified in paragraphs (b)(1)</t>
  </si>
  <si>
    <t>test as described in § 1066.801.</t>
  </si>
  <si>
    <t>DA=0 or 5-75</t>
  </si>
  <si>
    <t>FN= 1-3</t>
  </si>
  <si>
    <t>* Requires Stream A and Stream B</t>
  </si>
  <si>
    <t>(a) General. The FTP exhaust emission test sequence consists of a cold-start test and a hot-start</t>
  </si>
  <si>
    <t>2A</t>
  </si>
  <si>
    <t>1A</t>
  </si>
  <si>
    <t>n/a</t>
  </si>
  <si>
    <t>PM- US06- split bag</t>
  </si>
  <si>
    <t>§ 1066.815 Exhaust emission test procedures for FTP testing.</t>
  </si>
  <si>
    <t>PM- US06</t>
  </si>
  <si>
    <t>PM- HwFET</t>
  </si>
  <si>
    <t>PM- Part 1066.815 option 5b*</t>
  </si>
  <si>
    <t>PM- Part 1066.815 option 5a*</t>
  </si>
  <si>
    <t>PM- Part 1066.815 option 4b</t>
  </si>
  <si>
    <t>PM- Part 1066.815 option 4a</t>
  </si>
  <si>
    <t>PM- Part 1066.815 option 3*</t>
  </si>
  <si>
    <t>PM- Part 1066.815 option 2</t>
  </si>
  <si>
    <t>3A</t>
  </si>
  <si>
    <t>PM- Part 1066.815 option 1</t>
  </si>
  <si>
    <t>PM -Part 86 sampling</t>
  </si>
  <si>
    <t>DA</t>
  </si>
  <si>
    <t>FR</t>
  </si>
  <si>
    <t>FN</t>
  </si>
  <si>
    <t>PM Research</t>
  </si>
  <si>
    <t>Sec. Dilution Air Flowrate
(slpm)</t>
  </si>
  <si>
    <t>Filter Flowrate 
(slpm)</t>
  </si>
  <si>
    <t>Filter number</t>
  </si>
  <si>
    <t>Filter Number</t>
  </si>
  <si>
    <t xml:space="preserve">City </t>
  </si>
  <si>
    <t>Phase 4 (opt, requires 4 filters)</t>
  </si>
  <si>
    <t>Phase 3</t>
  </si>
  <si>
    <t>Phase 2</t>
  </si>
  <si>
    <t>Phase1</t>
  </si>
  <si>
    <t>FTP</t>
  </si>
  <si>
    <t>Stream A</t>
  </si>
  <si>
    <t>Number of Streams:  1-4</t>
  </si>
  <si>
    <t xml:space="preserve">  b)Primary + Secondary</t>
  </si>
  <si>
    <t>4 lines, 3+ 1 bypass</t>
  </si>
  <si>
    <t xml:space="preserve">  a)Primary</t>
  </si>
  <si>
    <t>Proportional Sampling Mode</t>
  </si>
  <si>
    <t>Filter Configurations:</t>
  </si>
  <si>
    <t>slpm</t>
  </si>
  <si>
    <t>Filter face velocity 100 cm/sec (for 47mm PM filter) =</t>
  </si>
  <si>
    <t>1066.815 (b)(1)</t>
  </si>
  <si>
    <t>User Inputs:</t>
  </si>
  <si>
    <t>Particulate Sampling Configuration options</t>
  </si>
  <si>
    <t>ID</t>
  </si>
  <si>
    <t>Quantity</t>
  </si>
  <si>
    <t>Scale</t>
  </si>
  <si>
    <t>Offset</t>
  </si>
  <si>
    <t>Log</t>
  </si>
  <si>
    <t>Logging Interval</t>
  </si>
  <si>
    <t>WAGO 337 4DI 4DO 16AI 4AO 2UC AI01</t>
  </si>
  <si>
    <t>WAGO 337 4DI 4DO 16AI 4AO 2UC AI02</t>
  </si>
  <si>
    <t>Channel #10</t>
  </si>
  <si>
    <t>Channel #11</t>
  </si>
  <si>
    <t>Channel #12</t>
  </si>
  <si>
    <t>Channel #13</t>
  </si>
  <si>
    <t>Channel #14</t>
  </si>
  <si>
    <t>Channel #15</t>
  </si>
  <si>
    <t>Channel #16</t>
  </si>
  <si>
    <t>WAGO 337 4DI 4DO 16AI 4AO 2UC AI03</t>
  </si>
  <si>
    <t>WAGO 337 4DI 4DO 16AI 4AO 2UC AI04</t>
  </si>
  <si>
    <t>WAGO 337 4DI 4DO 16AI 4AO 2UC AI05</t>
  </si>
  <si>
    <t>WAGO 337 4DI 4DO 16AI 4AO 2UC AI06</t>
  </si>
  <si>
    <t>WAGO 337 4DI 4DO 16AI 4AO 2UC AI07</t>
  </si>
  <si>
    <t>WAGO 337 4DI 4DO 16AI 4AO 2UC AI08</t>
  </si>
  <si>
    <t>WAGO 337 4DI 4DO 16AI 4AO 2UC AI09</t>
  </si>
  <si>
    <t>WAGO 337 4DI 4DO 16AI 4AO 2UC AI10</t>
  </si>
  <si>
    <t>WAGO 337 4DI 4DO 16AI 4AO 2UC AI11</t>
  </si>
  <si>
    <t>WAGO 337 4DI 4DO 16AI 4AO 2UC AI12</t>
  </si>
  <si>
    <t>WAGO 337 4DI 4DO 16AI 4AO 2UC AI13</t>
  </si>
  <si>
    <t>WAGO 337 4DI 4DO 16AI 4AO 2UC AI14</t>
  </si>
  <si>
    <t>WAGO 337 4DI 4DO 16AI 4AO 2UC AI15</t>
  </si>
  <si>
    <t>WAGO 337 4DI 4DO 16AI 4AO 2UC AI16</t>
  </si>
  <si>
    <t>Channel #17</t>
  </si>
  <si>
    <t>Channel #18</t>
  </si>
  <si>
    <t>Channel #19</t>
  </si>
  <si>
    <t>Channel #20</t>
  </si>
  <si>
    <t>WAGO 337 4DI 4DO 16AI 4AO 2UC AO01</t>
  </si>
  <si>
    <t>WAGO 337 4DI 4DO 16AI 4AO 2UC AO02</t>
  </si>
  <si>
    <t>WAGO 337 4DI 4DO 16AI 4AO 2UC AO03</t>
  </si>
  <si>
    <t>WAGO 337 4DI 4DO 16AI 4AO 2UC AO04</t>
  </si>
  <si>
    <t>Analog Input (-10 … +10 VDC; 0 … 10 VDC)</t>
  </si>
  <si>
    <t>Frequency Counter 0.1 Hz - 100 kH</t>
  </si>
  <si>
    <t>Up Counter/Enable Input</t>
  </si>
  <si>
    <t>WAGO 337 4DI 4DO 16AI 4AO 2UC UC01</t>
  </si>
  <si>
    <t>WAGO 337 4DI 4DO 16AI 4AO 2UC UC02</t>
  </si>
  <si>
    <t>Channel #26</t>
  </si>
  <si>
    <t>Channel #27</t>
  </si>
  <si>
    <t>Channel #28</t>
  </si>
  <si>
    <t>Channel #29</t>
  </si>
  <si>
    <t>Digital Input Module DC 24 V 2- to 3-conductor connection; high-side switching</t>
  </si>
  <si>
    <t>WAGO 337 4DI 4DO 16AI 4AO 2UC DI01</t>
  </si>
  <si>
    <t>WAGO 337 4DI 4DO 16AI 4AO 2UC DI02</t>
  </si>
  <si>
    <t>WAGO 337 4DI 4DO 16AI 4AO 2UC DI03</t>
  </si>
  <si>
    <t>WAGO 337 4DI 4DO 16AI 4AO 2UC DI04</t>
  </si>
  <si>
    <t>Relay Output Module 125 V AC, 30 V DC</t>
  </si>
  <si>
    <t>WAGO 337 4DI 4DO 16AI 4AO 2UC DO01</t>
  </si>
  <si>
    <t>WAGO 337 4DI 4DO 16AI 4AO 2UC DO02</t>
  </si>
  <si>
    <t>WAGO 337 4DI 4DO 16AI 4AO 2UC DO03</t>
  </si>
  <si>
    <t>WAGO 337 4DI 4DO 16AI 4AO 2UC DO04</t>
  </si>
  <si>
    <t>FanControl</t>
  </si>
  <si>
    <t>Analog Output (-10 … +10 VDC; 0 … 10 VDC)</t>
  </si>
  <si>
    <t>Dyno Pulse Counter</t>
  </si>
  <si>
    <t>Dyno Pulse Frequency</t>
  </si>
  <si>
    <t>Start Pendant</t>
  </si>
  <si>
    <t>Run/Hold Pendant</t>
  </si>
  <si>
    <t>Stop Pendant</t>
  </si>
  <si>
    <t>FR = 9-75</t>
  </si>
  <si>
    <t xml:space="preserve">Prep Cycles </t>
  </si>
  <si>
    <t>RS232</t>
  </si>
  <si>
    <t>Serial Port</t>
  </si>
  <si>
    <t>Baud rate</t>
  </si>
  <si>
    <t>Auto-connect</t>
  </si>
  <si>
    <t>COM1</t>
  </si>
  <si>
    <t>Report Section</t>
  </si>
  <si>
    <t>Label</t>
  </si>
  <si>
    <t>Channel</t>
  </si>
  <si>
    <t>Naming Options</t>
  </si>
  <si>
    <t>Test procedure has the same name as in the VTS system</t>
  </si>
  <si>
    <t>Test procedure in STARS VETS has standard name and will be mapped to VTS name. VTS name will be copied into a customized channel that can be added to the report</t>
  </si>
  <si>
    <t>FuelInfo</t>
  </si>
  <si>
    <t>VehicleDetails</t>
  </si>
  <si>
    <t>TestReference</t>
  </si>
  <si>
    <t>TestInformation</t>
  </si>
  <si>
    <t>Global Settings</t>
  </si>
  <si>
    <t>Clear messages on test start</t>
  </si>
  <si>
    <t>Stop CVS blower in soak phase</t>
  </si>
  <si>
    <t>Prompt for test start</t>
  </si>
  <si>
    <t>Continuous line purge time (s)</t>
  </si>
  <si>
    <t>Run analysis on test abort</t>
  </si>
  <si>
    <t>Continuous data logging</t>
  </si>
  <si>
    <t>StartAndDrivePeriods</t>
  </si>
  <si>
    <t>StartDriveAndSoakPeriods</t>
  </si>
  <si>
    <t>EntireTest</t>
  </si>
  <si>
    <t>Prompt in case of calibration failure</t>
  </si>
  <si>
    <t>Calibration failure dialog timeout (s)</t>
  </si>
  <si>
    <t>Allow test with no CVS blower running</t>
  </si>
  <si>
    <t>Wait for run timeout (s)</t>
  </si>
  <si>
    <t>Wait for stop timeout (s)</t>
  </si>
  <si>
    <t>Background validation interval (min)</t>
  </si>
  <si>
    <t>Check road load model match before test</t>
  </si>
  <si>
    <t>Proportional PM flow sampling</t>
  </si>
  <si>
    <t>Calibrate SAO pressure before test</t>
  </si>
  <si>
    <t>Stop CVS blower before SAO pressure calibration</t>
  </si>
  <si>
    <t>Send SAO offset to device</t>
  </si>
  <si>
    <t>Proportional sample bag sampling</t>
  </si>
  <si>
    <t>Proportional ambient bag sampling</t>
  </si>
  <si>
    <t>Tailpipe pressure control</t>
  </si>
  <si>
    <t>Tailpipe pressure (Pa)</t>
  </si>
  <si>
    <t>CVS Blower Stop Dialog Timeout (s)</t>
  </si>
  <si>
    <t>QCL zero/span mode</t>
  </si>
  <si>
    <t>Continuous</t>
  </si>
  <si>
    <t>BagAndContinuous</t>
  </si>
  <si>
    <t>Read sample bag before ambient bag</t>
  </si>
  <si>
    <t>MeasurementPhasesOnly</t>
  </si>
  <si>
    <t>Channel #21
(used by STARS VETS)</t>
  </si>
  <si>
    <t>Channel #22
(used by STARS VETS)</t>
  </si>
  <si>
    <t>Channel #23
(used by STARS VETS)</t>
  </si>
  <si>
    <t>Channel #24
(used by STARS VETS)</t>
  </si>
  <si>
    <t>Channel #25
(used by STARS VETS)</t>
  </si>
  <si>
    <t>Channel #30
(used by STARS VETS)</t>
  </si>
  <si>
    <t>SULEV</t>
  </si>
  <si>
    <t>EC1</t>
  </si>
  <si>
    <t>HWY15</t>
  </si>
  <si>
    <t>US1B</t>
  </si>
  <si>
    <t>Horiba defaults can be used</t>
  </si>
  <si>
    <t>VTS Fields</t>
  </si>
  <si>
    <t>Not used</t>
  </si>
  <si>
    <t>Not used (this is generally set at the test cell by the operator</t>
  </si>
  <si>
    <t>Flag to designate if the test will be using dual bench configuration with the clean bench</t>
  </si>
  <si>
    <t>Not used (pertains to Running Loss)</t>
  </si>
  <si>
    <t>Diagnostic &amp; Repair sequence number within a project. This is a sequential number used to keep track of repair sequences for the vehicle within a project</t>
  </si>
  <si>
    <t>Diagnostic &amp; Repair reason code.  The code represents the reason for the diagnostic &amp; repair sequence number.</t>
  </si>
  <si>
    <t>The precondition code that represents all preconditioning task.</t>
  </si>
  <si>
    <t>inches</t>
  </si>
  <si>
    <t xml:space="preserve">TARGET_COEFF_UNIT &amp; DYNO_COEFF_UNIT -&gt; What are the possible values aside from 'ENGLISH'. If there are other options, what do they mean (i.e. ENGLISH -&gt; US) </t>
  </si>
  <si>
    <t>DYNO_COEFF_UNIT -&gt; If the entry has no value what are theunits of DYNO_COEFF_A, DYNO_COEFF_B, DYNO_COEFF_C</t>
  </si>
  <si>
    <t>TEST_TYPE_CODE -&gt; What are possible codes and corresponding TEST_NAME values</t>
  </si>
  <si>
    <t>FUEL_TYPE -&gt; What are all possible codes and meanings of each code name</t>
  </si>
  <si>
    <t>VEH_CLASS_CODE -&gt; What are all possible codes and meanings of each code name</t>
  </si>
  <si>
    <t>SI is the other option (metric)</t>
  </si>
  <si>
    <t>Default should use ENGLISH units</t>
  </si>
  <si>
    <t>See the entries on the "Tests (CARB Specific) tab of this spreadsheet</t>
  </si>
  <si>
    <t/>
  </si>
  <si>
    <t>OCTAMIX 7%</t>
  </si>
  <si>
    <t>G</t>
  </si>
  <si>
    <t>XN02</t>
  </si>
  <si>
    <t>OCTAMIX 100%</t>
  </si>
  <si>
    <t>XN01</t>
  </si>
  <si>
    <t>WATER 50% + 50% ETHANOL</t>
  </si>
  <si>
    <t>A</t>
  </si>
  <si>
    <t>WN02</t>
  </si>
  <si>
    <t>WATER 60% + 40% GASOLINE</t>
  </si>
  <si>
    <t>WN01</t>
  </si>
  <si>
    <t>ELECTRIC</t>
  </si>
  <si>
    <t>VN01</t>
  </si>
  <si>
    <t>OTHERS</t>
  </si>
  <si>
    <t>UN02</t>
  </si>
  <si>
    <t>Test Fuel for METS Testing -- Should not be used</t>
  </si>
  <si>
    <t>N</t>
  </si>
  <si>
    <t>TT8D</t>
  </si>
  <si>
    <t>No Fuel for SHED Test</t>
  </si>
  <si>
    <t>NOFL</t>
  </si>
  <si>
    <t>LIQUIFIED NATURAL GAS</t>
  </si>
  <si>
    <t>NN04</t>
  </si>
  <si>
    <t>2/7/2007 7:54
Commercial CNG Fuel purchased from SoCalGas</t>
  </si>
  <si>
    <t>Commercial CNG Fuel</t>
  </si>
  <si>
    <t>NN03</t>
  </si>
  <si>
    <t>Commercial Compressed Natural Gas</t>
  </si>
  <si>
    <t>NN02</t>
  </si>
  <si>
    <t>COMPRESSED NATURAL GAS -- COMMERCIAL FUEL</t>
  </si>
  <si>
    <t>NN01</t>
  </si>
  <si>
    <t>COMPRESSED NATURAL GAS -- CERTIFICATION FUEL</t>
  </si>
  <si>
    <t>NC01</t>
  </si>
  <si>
    <t>METHANOL 50% + 50% INDOLENE CLEAR</t>
  </si>
  <si>
    <t>MN06</t>
  </si>
  <si>
    <t>METHANOL 85% + 15% REFORMULATED RF-A GASOLINE</t>
  </si>
  <si>
    <t>MN05</t>
  </si>
  <si>
    <t>METHANOL 85% + 15% UNKNOWN GASOLINE</t>
  </si>
  <si>
    <t>MN04</t>
  </si>
  <si>
    <t>METHANOL 88% + 12% COMMERCIAL UNLEADED GASOLINE</t>
  </si>
  <si>
    <t>MN03</t>
  </si>
  <si>
    <t>METHANOL 90% + 10% COMMERCIAL UNLEADED GASOLINE</t>
  </si>
  <si>
    <t>MN02</t>
  </si>
  <si>
    <t>METHANOL 95% + 5% INDOLENE CLEAR</t>
  </si>
  <si>
    <t>MN01</t>
  </si>
  <si>
    <t>METHANOL 85% + 15% PHASE 2 CERTIFICATION GASOLINE</t>
  </si>
  <si>
    <t>MC03</t>
  </si>
  <si>
    <t>METHANOL 85% + 15% APPLICABLE CERT GASOLINE</t>
  </si>
  <si>
    <t>MC02</t>
  </si>
  <si>
    <t>METHANOL 100% CERTIFICATION FUEL</t>
  </si>
  <si>
    <t>MC01</t>
  </si>
  <si>
    <t>LIQUIFIED PETROLEUM GAS from vehicle</t>
  </si>
  <si>
    <t>L</t>
  </si>
  <si>
    <t>LN09</t>
  </si>
  <si>
    <t>LIQUIFIED PETROLEUM GAS -- TEST FUEL (8/98, BATCH 008)</t>
  </si>
  <si>
    <t>LN08</t>
  </si>
  <si>
    <t>LIQUIFIED PETROLEUM GAS -- TEST FUEL (8/98, BATCH 007)</t>
  </si>
  <si>
    <t>LN07</t>
  </si>
  <si>
    <t>LIQUIFIED PETROLEUM GAS -- TEST FUEL (6/98, BATCH 006)</t>
  </si>
  <si>
    <t>LN06</t>
  </si>
  <si>
    <t>LIQUIFIED PETROLEUM GAS -- TEST FUEL (6/98, BATCH 005)</t>
  </si>
  <si>
    <t>LN05</t>
  </si>
  <si>
    <t>LIQUIFIED PETROLEUM GAS -- TEST FUEL (6/98, BATCH 004)</t>
  </si>
  <si>
    <t>LN04</t>
  </si>
  <si>
    <t>LIQUIFIED PETROLEUM GAS -- TEST FUEL (6/98, BATCH 003)</t>
  </si>
  <si>
    <t>LN03</t>
  </si>
  <si>
    <t>LIQUIFIED PETROLEUM GAS -- UNKNOWN</t>
  </si>
  <si>
    <t>LN02</t>
  </si>
  <si>
    <t>LIQUIFIED PETROLEUM GAS -- COMMERCIAL</t>
  </si>
  <si>
    <t>LN01</t>
  </si>
  <si>
    <t>LPG SPECIAL TEST: CERT. FUEL, 94% PROPANE, 4% PROPYLENE, 2% BUTANE</t>
  </si>
  <si>
    <t>LC02</t>
  </si>
  <si>
    <t>LIQUIFIED PETROLEUM GAS -- CERTIFICATION (6/98, BATCH 002)</t>
  </si>
  <si>
    <t>LC01</t>
  </si>
  <si>
    <t>INDOLENE 53% + 47% WATER</t>
  </si>
  <si>
    <t>IN06</t>
  </si>
  <si>
    <t>INDOLENE CLEAR 65% + 35% METHANOL</t>
  </si>
  <si>
    <t>IN05</t>
  </si>
  <si>
    <t>INDOLENE CLEAR 75% + 25% METHANOL</t>
  </si>
  <si>
    <t>IN04</t>
  </si>
  <si>
    <t>INDOLENE CLEAR 90% + 10% ETHANOL</t>
  </si>
  <si>
    <t>IN03</t>
  </si>
  <si>
    <t>INDOLENE 15</t>
  </si>
  <si>
    <t>IN02</t>
  </si>
  <si>
    <t>INDOLENE 30</t>
  </si>
  <si>
    <t>IN01</t>
  </si>
  <si>
    <t>Tier 1 Indolene</t>
  </si>
  <si>
    <t>IC23</t>
  </si>
  <si>
    <t>9/9/2005 13:11
EPA fuel type 61</t>
  </si>
  <si>
    <t>EPA unleaded Tier 2</t>
  </si>
  <si>
    <t>IC22</t>
  </si>
  <si>
    <t>Indolene Clear Certification Fuel Tier 2 (unleaded)</t>
  </si>
  <si>
    <t>IC21</t>
  </si>
  <si>
    <t>CAA baseline indolene
clear certification fuel</t>
  </si>
  <si>
    <t>IC02</t>
  </si>
  <si>
    <t>Indolene Certification Gasoline</t>
  </si>
  <si>
    <t>IC01</t>
  </si>
  <si>
    <t>HYDROGEN</t>
  </si>
  <si>
    <t>HN01</t>
  </si>
  <si>
    <t>6/2/2009 8:24
This fuel code should not be used for any other testing.
6/2/2009 8:24
This fuel code should not be used for any other testing.
6/3/2009 11:49
PROJECT 2R0905 ONLY</t>
  </si>
  <si>
    <t>Multiple test fuels for comparison testing from project 2R0905</t>
  </si>
  <si>
    <t>GN28</t>
  </si>
  <si>
    <t>Commercial fuel (E6) from 76 gas station for project 2R0905</t>
  </si>
  <si>
    <t>GN27</t>
  </si>
  <si>
    <t>10% ethanol fuel</t>
  </si>
  <si>
    <t>GN26</t>
  </si>
  <si>
    <t>Commercial Regular (Jetta GHG Project)</t>
  </si>
  <si>
    <t>GN25</t>
  </si>
  <si>
    <t>10/25/2006 10:41
OBD Project 2R0406</t>
  </si>
  <si>
    <t>Commercial 91
2R0406</t>
  </si>
  <si>
    <t>GN24</t>
  </si>
  <si>
    <t>Purchased for local station for project 2R0605</t>
  </si>
  <si>
    <t>Commercial Phase 3 Gasoline - Premium grade</t>
  </si>
  <si>
    <t>GN23</t>
  </si>
  <si>
    <t>Commercial Phase 3 Gasoline - Regular grade</t>
  </si>
  <si>
    <t>GN22</t>
  </si>
  <si>
    <t>Commercial 91 octane</t>
  </si>
  <si>
    <t>GN21</t>
  </si>
  <si>
    <t>winter commercial phase 3 reformulated gasoline</t>
  </si>
  <si>
    <t>GN20</t>
  </si>
  <si>
    <t>Commercial Phase 3 gasoline</t>
  </si>
  <si>
    <t>GN19</t>
  </si>
  <si>
    <t>6/17/2003 13:5
CE-CERT ARB NMOG Correlation study</t>
  </si>
  <si>
    <t>Commercial gasoline</t>
  </si>
  <si>
    <t>P</t>
  </si>
  <si>
    <t>GN18</t>
  </si>
  <si>
    <t>11/6/2002 13:20
Kleeman PM project</t>
  </si>
  <si>
    <t>Commercial Gasoline</t>
  </si>
  <si>
    <t>GN17</t>
  </si>
  <si>
    <t>COMMERCIAL PHASE 2 WINTER GRADE, tank 2</t>
  </si>
  <si>
    <t>GN16</t>
  </si>
  <si>
    <t>TOSCO 2% OXYGENATED ETHANOL FUEL (DRUM)</t>
  </si>
  <si>
    <t>GN15</t>
  </si>
  <si>
    <t>CHEVRON NON-OXYGENATED PHASE 2 FUEL (DURM)</t>
  </si>
  <si>
    <t>GN14</t>
  </si>
  <si>
    <t>GM 92 PRE-PHASE 1 WINTER FUEL (DRUM)</t>
  </si>
  <si>
    <t>GN13</t>
  </si>
  <si>
    <t>GM 92 PRE-PHASE 1 SUMMER FUEL (DRUM)</t>
  </si>
  <si>
    <t>GN12</t>
  </si>
  <si>
    <t>COMMERCIAL PHASE 2 GASOLINE USED IN PRE-PHASE TESTING</t>
  </si>
  <si>
    <t>GN11</t>
  </si>
  <si>
    <t>CA PHASE 1 [FES0003]</t>
  </si>
  <si>
    <t>GN10</t>
  </si>
  <si>
    <t>FED SUMMER RFG [FES0001]</t>
  </si>
  <si>
    <t>GN09</t>
  </si>
  <si>
    <t>LEADED COMMERCIAL TANK FUEL</t>
  </si>
  <si>
    <t>GN08</t>
  </si>
  <si>
    <t>GASOHOL [COMMERCIAL GRADE]</t>
  </si>
  <si>
    <t>GN07</t>
  </si>
  <si>
    <t>METHYL TERTIARY BUTYL ETHER [MTBE]</t>
  </si>
  <si>
    <t>GN06</t>
  </si>
  <si>
    <t>REFORMULATED RF-A GASOLINE [PHILLIPS 66]</t>
  </si>
  <si>
    <t>GN05</t>
  </si>
  <si>
    <t>GASOLINE PHASE 2 89% HC + 11% MTBE</t>
  </si>
  <si>
    <t>GN04</t>
  </si>
  <si>
    <t>GASOLINE PHASE 2 90% HC + 10% ETHANOL</t>
  </si>
  <si>
    <t>GN03</t>
  </si>
  <si>
    <t>FEDERAL PHASE 1 GASOLINE</t>
  </si>
  <si>
    <t>GN02</t>
  </si>
  <si>
    <t>COMMERCIAL PHASE 2 GASOLINE</t>
  </si>
  <si>
    <t>GN01</t>
  </si>
  <si>
    <t>phase 2 certification fuel</t>
  </si>
  <si>
    <t>GK01</t>
  </si>
  <si>
    <t>EPA Tier 3 EEE Certification</t>
  </si>
  <si>
    <t>GC06</t>
  </si>
  <si>
    <t>Federal Tier 2 Cert</t>
  </si>
  <si>
    <t>GC05</t>
  </si>
  <si>
    <t>6/5/2002 11:12
Fuel for Future Truck Testing</t>
  </si>
  <si>
    <t>Reformulated Gasoline</t>
  </si>
  <si>
    <t>GC04</t>
  </si>
  <si>
    <t>Cert fuel  project# 2R1108</t>
  </si>
  <si>
    <t>GC03</t>
  </si>
  <si>
    <t>CERTIFICATION PHASE 2 GASOLINE [MY92-94]</t>
  </si>
  <si>
    <t>GC02</t>
  </si>
  <si>
    <t>CERTIFICATION PHASE 2 GASOLINE</t>
  </si>
  <si>
    <t>GC01</t>
  </si>
  <si>
    <t>Fuel for EV tests</t>
  </si>
  <si>
    <t>EV00</t>
  </si>
  <si>
    <t>Commercial E-85 fuel</t>
  </si>
  <si>
    <t>EN11</t>
  </si>
  <si>
    <t>E-85 from test vehicle 107</t>
  </si>
  <si>
    <t>EN10</t>
  </si>
  <si>
    <t>E-10 for project 2R0911</t>
  </si>
  <si>
    <t>EN09</t>
  </si>
  <si>
    <t>E-10 fuel used in 2R0705</t>
  </si>
  <si>
    <t>EN08</t>
  </si>
  <si>
    <t>Chevron E-10 fuel</t>
  </si>
  <si>
    <t>EN07</t>
  </si>
  <si>
    <t>Chevron E-85 fuel for project 2R0601</t>
  </si>
  <si>
    <t>EN06</t>
  </si>
  <si>
    <t>10/25/2006 10:28
E85-Possible Cert E85 speciay made by Chevron for E85 demo project amd used for porject 2R0601 (SFTP)</t>
  </si>
  <si>
    <t>E85-Possibel Cert. E85 Fuel</t>
  </si>
  <si>
    <t>EN05</t>
  </si>
  <si>
    <t>ETHANOL 85% + 15% INDOLENE CLEAR</t>
  </si>
  <si>
    <t>EN04</t>
  </si>
  <si>
    <t>ETHANOL 85% + 15% RE-FORMULATED RF-A GASOLINE</t>
  </si>
  <si>
    <t>EN03</t>
  </si>
  <si>
    <t>ETHANOL 95% + 5% INDOLENE CLEAR</t>
  </si>
  <si>
    <t>EN02</t>
  </si>
  <si>
    <t>ETHANOL 100%</t>
  </si>
  <si>
    <t>EN01</t>
  </si>
  <si>
    <t>CARB LEV III E10 Certification Fuel Premium Octane, Halterman Product Code: HF08</t>
  </si>
  <si>
    <t>EC10</t>
  </si>
  <si>
    <t>Tank 1 E-10 Cert</t>
  </si>
  <si>
    <t>EC09</t>
  </si>
  <si>
    <t>E-10 Premium Cert.</t>
  </si>
  <si>
    <t>EC08</t>
  </si>
  <si>
    <t>E-85 (EPA Tier II EEE Cert. fuel)</t>
  </si>
  <si>
    <t>EC07</t>
  </si>
  <si>
    <t>E-10 Cert fuel Phase III</t>
  </si>
  <si>
    <t>EC06</t>
  </si>
  <si>
    <t>Per Meng: Please change MPG Calculation from G to A (For Ethanol fuel)</t>
  </si>
  <si>
    <t>E-85 test fuel</t>
  </si>
  <si>
    <t>EC05</t>
  </si>
  <si>
    <t>10/2/2007 10:16
45% Toluene, 45% Isooctane and 10% Ethanol</t>
  </si>
  <si>
    <t>E10 Specialty Fuel
CE10 For Marine Projects</t>
  </si>
  <si>
    <t>EC04</t>
  </si>
  <si>
    <t>6/5/2002 11:13
Future Truck testing fuel</t>
  </si>
  <si>
    <t>85% Ethanol + 15% gasoline</t>
  </si>
  <si>
    <t>EC03</t>
  </si>
  <si>
    <t>4/12/2002 16:2
Fuel supplied by US Liquides
at Ed Sun's request</t>
  </si>
  <si>
    <t>ETHANOL 85% + 15% CERTIFICATION PHASE 2 GASOLINE</t>
  </si>
  <si>
    <t>EC02</t>
  </si>
  <si>
    <t>ETHANOL 98% + 2% INDOLENE CLEAR</t>
  </si>
  <si>
    <t>EC01</t>
  </si>
  <si>
    <t>CARB LEE III E10 Certification Fuel, Halterman Product Cod: HF0862 Batch DJ0921L</t>
  </si>
  <si>
    <t>E10</t>
  </si>
  <si>
    <t>07/19/2012 11:14
New Soy (20%) diesel
07/24/2012 09:26
Update - percent bio is being researched.</t>
  </si>
  <si>
    <t>Soy diesel</t>
  </si>
  <si>
    <t>D</t>
  </si>
  <si>
    <t>DN12</t>
  </si>
  <si>
    <t>B-99 S+</t>
  </si>
  <si>
    <t>DN11</t>
  </si>
  <si>
    <t>2/26/2009 9:11
2R08C01
3/3/2009 8:38
Revised project # 4R08C01</t>
  </si>
  <si>
    <t>B5 Soy Diesel</t>
  </si>
  <si>
    <t>DN10</t>
  </si>
  <si>
    <t>2/26/2009 9:10
2R08C01
3/3/2009 8:38
Revised project # 4R08C01</t>
  </si>
  <si>
    <t>B20 Soy Diesel</t>
  </si>
  <si>
    <t>DN09</t>
  </si>
  <si>
    <t>2/26/2009 9:9
2R08C01
3/3/2009 8:37
Revised project # 4R08C01</t>
  </si>
  <si>
    <t>B50 Soy Diesel</t>
  </si>
  <si>
    <t>DN08</t>
  </si>
  <si>
    <t>2/26/2009 9:7
2R08C01
3/3/2009 8:37
Revised project # 4R08C01</t>
  </si>
  <si>
    <t>B100 Soy Diesel</t>
  </si>
  <si>
    <t>DN07</t>
  </si>
  <si>
    <t>2/26/2009 9:5
2R08C01
3/3/2009 8:18
Revised project # 4R08C01</t>
  </si>
  <si>
    <t>B100 Animal Diesel</t>
  </si>
  <si>
    <t>DN06</t>
  </si>
  <si>
    <t>CA Diesel - MSOD 4R08C01</t>
  </si>
  <si>
    <t>DN05</t>
  </si>
  <si>
    <t>DIESEL PRE 1985</t>
  </si>
  <si>
    <t>DN04</t>
  </si>
  <si>
    <t>RENTECH DIESEL</t>
  </si>
  <si>
    <t>DN03</t>
  </si>
  <si>
    <t>DIESEL COMMERCIAL #2</t>
  </si>
  <si>
    <t>DN02</t>
  </si>
  <si>
    <t>DIESEL COMMERCIAL #1</t>
  </si>
  <si>
    <t>DN01</t>
  </si>
  <si>
    <t>Cert Fuel Diesel analysis from Paragon Laboratories</t>
  </si>
  <si>
    <t>DC08</t>
  </si>
  <si>
    <t>Fuel for AIGER crosscheck</t>
  </si>
  <si>
    <t>DC07</t>
  </si>
  <si>
    <t>Cert Diesel  analysis data from vendor</t>
  </si>
  <si>
    <t>DC06</t>
  </si>
  <si>
    <t>California Cert Diesel</t>
  </si>
  <si>
    <t>DC05</t>
  </si>
  <si>
    <t>CA CLEAN DIESEL FUEL AKA DIESEL 13 CERT FUEL STARTING IN MY95</t>
  </si>
  <si>
    <t>DC04</t>
  </si>
  <si>
    <t>DIESEL 05% SULFUR [40 CFR 86-1313-94 (b)]</t>
  </si>
  <si>
    <t>DC03</t>
  </si>
  <si>
    <t>DIESEL 10% SULFUR [OLD EPA, MY90-94]</t>
  </si>
  <si>
    <t>DC02</t>
  </si>
  <si>
    <t>DIESEL 25% SULFUR [CERT FUEL PER MY94]</t>
  </si>
  <si>
    <t>DC01</t>
  </si>
  <si>
    <t>BUTANOL 85% + 15% INDOLENE CLEAR</t>
  </si>
  <si>
    <t>BN02</t>
  </si>
  <si>
    <t>BUTANOL 100%</t>
  </si>
  <si>
    <t>BN01</t>
  </si>
  <si>
    <t>FUEL_COMMENT</t>
  </si>
  <si>
    <t>FUEL_NAME</t>
  </si>
  <si>
    <t>DILUTION_FACTOR_CODE (G=Gasoline, L=LPG, A=Alcohol, N = CNG, P=Phase 2 Gasoline, D=Diesel)</t>
  </si>
  <si>
    <t>See added tab "ARB FuelDesciption"</t>
  </si>
  <si>
    <t>Light Duty Truck [LDT: 6001 thru 8500 lb LVW]</t>
  </si>
  <si>
    <t>T3L2</t>
  </si>
  <si>
    <t>SC = Sand Car</t>
  </si>
  <si>
    <t>SC</t>
  </si>
  <si>
    <t>OFSV = Off-Road Sport Vehicle</t>
  </si>
  <si>
    <t>OFSV</t>
  </si>
  <si>
    <t>OFUV = Off-Road Utility Vehicle</t>
  </si>
  <si>
    <t>OFUV</t>
  </si>
  <si>
    <t>ATV = All Terrain Vehicle</t>
  </si>
  <si>
    <t>ATV</t>
  </si>
  <si>
    <t>OFMC = Off-Road Motorcycle</t>
  </si>
  <si>
    <t>OFMC</t>
  </si>
  <si>
    <t>MC3 = HMC Class III 280 cc and over</t>
  </si>
  <si>
    <t>MC3</t>
  </si>
  <si>
    <t>MC2 = HMC Class II 170 cc - 279 cc</t>
  </si>
  <si>
    <t>MC2</t>
  </si>
  <si>
    <t>MC1B = HMC Class I-B 50 cc - 169 cc</t>
  </si>
  <si>
    <t>MC1B</t>
  </si>
  <si>
    <t>MC1A = HMC Class I-A &lt;50 cc</t>
  </si>
  <si>
    <t>MC1A</t>
  </si>
  <si>
    <t>Utility, Lawn and Garden</t>
  </si>
  <si>
    <t>ULG</t>
  </si>
  <si>
    <t>On Road Medium Duty Vehicle</t>
  </si>
  <si>
    <t>ONMV</t>
  </si>
  <si>
    <t>On Road Heavy Duty Vehicle</t>
  </si>
  <si>
    <t>ONHV</t>
  </si>
  <si>
    <t>On Road Medium Duty Engine</t>
  </si>
  <si>
    <t>ONMD</t>
  </si>
  <si>
    <t>On Road Heavy Duty Engine</t>
  </si>
  <si>
    <t>ONHD</t>
  </si>
  <si>
    <t>Off Road Heavy Duty Engine</t>
  </si>
  <si>
    <t>OFHD</t>
  </si>
  <si>
    <t>Off Road Vehicle</t>
  </si>
  <si>
    <t>ORV</t>
  </si>
  <si>
    <t>Hybrid Electric Vehicle</t>
  </si>
  <si>
    <t>HEV</t>
  </si>
  <si>
    <t>Heavy Duty Vehicle</t>
  </si>
  <si>
    <t>HD</t>
  </si>
  <si>
    <t>MDV [10001 thru 14000 lb ETW, model 95]</t>
  </si>
  <si>
    <t>M5</t>
  </si>
  <si>
    <t>MDV [8501 thru 10000 lb ETW, model 95]</t>
  </si>
  <si>
    <t>M4</t>
  </si>
  <si>
    <t>MDV [5751 thru 8500 lb TW]</t>
  </si>
  <si>
    <t>M3</t>
  </si>
  <si>
    <t>MDV [3751 thru 5750 lb TW]</t>
  </si>
  <si>
    <t>M2</t>
  </si>
  <si>
    <t>MDV [0 thru 3750 TW]</t>
  </si>
  <si>
    <t>M1</t>
  </si>
  <si>
    <t>Medium Duty Vehicle</t>
  </si>
  <si>
    <t>MDV</t>
  </si>
  <si>
    <t>Light Duty Vehicle [no longer used]</t>
  </si>
  <si>
    <t>LDV</t>
  </si>
  <si>
    <t>General Light Duty Truck</t>
  </si>
  <si>
    <t>LDT</t>
  </si>
  <si>
    <t>Light Duty Truck [LDT: 3751 thru 5750 lb LVW]</t>
  </si>
  <si>
    <t>T2</t>
  </si>
  <si>
    <t>Light Duty Truck [LDT: 0 thru 3750 lb LVW]</t>
  </si>
  <si>
    <t>T1</t>
  </si>
  <si>
    <t>Passenger Car</t>
  </si>
  <si>
    <t>PC</t>
  </si>
  <si>
    <t>LONG_VALUE</t>
  </si>
  <si>
    <t>SHORT_VALUE</t>
  </si>
  <si>
    <t>SEQ</t>
  </si>
  <si>
    <t>Column Name</t>
  </si>
  <si>
    <t>See added tab "ARB Veh_Class_Code"</t>
  </si>
</sst>
</file>

<file path=xl/styles.xml><?xml version="1.0" encoding="utf-8"?>
<styleSheet xmlns="http://schemas.openxmlformats.org/spreadsheetml/2006/main" xmlns:mc="http://schemas.openxmlformats.org/markup-compatibility/2006" xmlns:x14ac="http://schemas.microsoft.com/office/spreadsheetml/2009/9/ac" mc:Ignorable="x14ac">
  <fonts count="47"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2"/>
      <name val="Calibri"/>
      <family val="2"/>
    </font>
    <font>
      <sz val="11"/>
      <color rgb="FF9C0006"/>
      <name val="Calibri"/>
      <family val="2"/>
      <scheme val="minor"/>
    </font>
    <font>
      <sz val="9"/>
      <color indexed="81"/>
      <name val="Tahoma"/>
      <family val="2"/>
    </font>
    <font>
      <b/>
      <sz val="9"/>
      <color indexed="81"/>
      <name val="Tahoma"/>
      <family val="2"/>
    </font>
    <font>
      <sz val="10"/>
      <name val="Calibri"/>
      <family val="2"/>
    </font>
    <font>
      <sz val="10"/>
      <color theme="0" tint="-0.249977111117893"/>
      <name val="Calibri"/>
      <family val="2"/>
    </font>
    <font>
      <sz val="10"/>
      <color theme="0" tint="-0.249977111117893"/>
      <name val="Arial"/>
      <family val="2"/>
    </font>
    <font>
      <sz val="10"/>
      <name val="Calibri"/>
      <family val="2"/>
      <scheme val="minor"/>
    </font>
    <font>
      <sz val="11"/>
      <name val="Calibri"/>
      <family val="2"/>
      <scheme val="minor"/>
    </font>
    <font>
      <sz val="11"/>
      <name val="Arial"/>
      <family val="2"/>
    </font>
    <font>
      <sz val="11"/>
      <color rgb="FF9C6500"/>
      <name val="Calibri"/>
      <family val="2"/>
      <scheme val="minor"/>
    </font>
    <font>
      <sz val="10"/>
      <color rgb="FF9C0006"/>
      <name val="Calibri"/>
      <family val="2"/>
      <scheme val="minor"/>
    </font>
    <font>
      <sz val="10"/>
      <color rgb="FF9C6500"/>
      <name val="Calibri"/>
      <family val="2"/>
      <scheme val="minor"/>
    </font>
    <font>
      <b/>
      <sz val="10"/>
      <name val="Calibri"/>
      <family val="2"/>
      <scheme val="minor"/>
    </font>
    <font>
      <sz val="10"/>
      <color rgb="FFFF0000"/>
      <name val="Calibri"/>
      <family val="2"/>
      <scheme val="minor"/>
    </font>
    <font>
      <sz val="10"/>
      <color theme="0" tint="-0.249977111117893"/>
      <name val="Calibri"/>
      <family val="2"/>
      <scheme val="minor"/>
    </font>
    <font>
      <b/>
      <sz val="10"/>
      <color rgb="FFFF0000"/>
      <name val="Arial"/>
      <family val="2"/>
    </font>
    <font>
      <b/>
      <sz val="10"/>
      <name val="Calibri"/>
      <family val="2"/>
    </font>
    <font>
      <b/>
      <sz val="10"/>
      <name val="Arial"/>
      <family val="2"/>
    </font>
    <font>
      <sz val="10"/>
      <name val="Arial"/>
      <family val="2"/>
    </font>
    <font>
      <b/>
      <sz val="8"/>
      <name val="Arial"/>
      <family val="2"/>
    </font>
    <font>
      <sz val="8"/>
      <name val="Arial"/>
      <family val="2"/>
    </font>
    <font>
      <sz val="9"/>
      <color theme="1"/>
      <name val="Calibri"/>
      <family val="2"/>
      <scheme val="minor"/>
    </font>
    <font>
      <sz val="8"/>
      <color theme="1"/>
      <name val="Calibri"/>
      <family val="2"/>
    </font>
    <font>
      <sz val="11"/>
      <color rgb="FFFF0000"/>
      <name val="Calibri"/>
      <family val="2"/>
      <scheme val="minor"/>
    </font>
    <font>
      <b/>
      <sz val="9"/>
      <color theme="1"/>
      <name val="Calibri"/>
      <family val="2"/>
      <scheme val="minor"/>
    </font>
    <font>
      <sz val="9"/>
      <color rgb="FFFF0000"/>
      <name val="Calibri"/>
      <family val="2"/>
      <scheme val="minor"/>
    </font>
    <font>
      <sz val="11"/>
      <color rgb="FFFF0000"/>
      <name val="Calibri"/>
      <family val="2"/>
    </font>
    <font>
      <sz val="18"/>
      <color theme="4"/>
      <name val="Calibri"/>
      <family val="2"/>
      <scheme val="minor"/>
    </font>
    <font>
      <sz val="14"/>
      <color theme="3"/>
      <name val="Calibri"/>
      <family val="2"/>
      <scheme val="minor"/>
    </font>
    <font>
      <sz val="20"/>
      <color theme="9"/>
      <name val="Calibri"/>
      <family val="2"/>
      <scheme val="minor"/>
    </font>
    <font>
      <b/>
      <sz val="8"/>
      <color theme="3" tint="0.39997558519241921"/>
      <name val="Calibri"/>
      <family val="2"/>
      <scheme val="minor"/>
    </font>
    <font>
      <sz val="9"/>
      <color theme="3"/>
      <name val="Calibri"/>
      <family val="2"/>
      <scheme val="minor"/>
    </font>
    <font>
      <sz val="9"/>
      <color theme="3" tint="0.39997558519241921"/>
      <name val="Calibri"/>
      <family val="2"/>
      <scheme val="minor"/>
    </font>
    <font>
      <sz val="11"/>
      <color theme="3" tint="0.39997558519241921"/>
      <name val="Calibri"/>
      <family val="2"/>
      <scheme val="minor"/>
    </font>
    <font>
      <sz val="8"/>
      <color theme="3" tint="0.39997558519241921"/>
      <name val="Calibri"/>
      <family val="2"/>
      <scheme val="minor"/>
    </font>
    <font>
      <u/>
      <sz val="12"/>
      <color theme="4"/>
      <name val="Calibri"/>
      <family val="2"/>
      <scheme val="minor"/>
    </font>
    <font>
      <sz val="16"/>
      <color theme="1"/>
      <name val="Calibri"/>
      <family val="2"/>
      <scheme val="minor"/>
    </font>
    <font>
      <sz val="20"/>
      <color theme="1"/>
      <name val="Calibri"/>
      <family val="2"/>
      <scheme val="minor"/>
    </font>
    <font>
      <sz val="10"/>
      <color theme="1"/>
      <name val="Calibri"/>
      <family val="2"/>
      <scheme val="minor"/>
    </font>
    <font>
      <b/>
      <sz val="10"/>
      <color theme="1"/>
      <name val="Calibri"/>
      <family val="2"/>
      <scheme val="minor"/>
    </font>
    <font>
      <sz val="11"/>
      <color rgb="FF000000"/>
      <name val="Calibri"/>
      <family val="2"/>
    </font>
    <font>
      <b/>
      <sz val="11"/>
      <color rgb="FF000000"/>
      <name val="Calibri"/>
      <family val="2"/>
    </font>
  </fonts>
  <fills count="20">
    <fill>
      <patternFill patternType="none"/>
    </fill>
    <fill>
      <patternFill patternType="gray125"/>
    </fill>
    <fill>
      <patternFill patternType="solid">
        <fgColor rgb="FFFFC7CE"/>
      </patternFill>
    </fill>
    <fill>
      <patternFill patternType="solid">
        <fgColor theme="2"/>
        <bgColor indexed="64"/>
      </patternFill>
    </fill>
    <fill>
      <patternFill patternType="solid">
        <fgColor theme="5" tint="0.79998168889431442"/>
        <bgColor indexed="64"/>
      </patternFill>
    </fill>
    <fill>
      <patternFill patternType="solid">
        <fgColor rgb="FFFFEB9C"/>
      </patternFill>
    </fill>
    <fill>
      <patternFill patternType="solid">
        <fgColor theme="2" tint="-9.9978637043366805E-2"/>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3"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tint="0.59999389629810485"/>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rgb="FFC0C0C0"/>
        <bgColor rgb="FFC0C0C0"/>
      </patternFill>
    </fill>
  </fills>
  <borders count="36">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top style="thin">
        <color indexed="64"/>
      </top>
      <bottom style="medium">
        <color indexed="64"/>
      </bottom>
      <diagonal/>
    </border>
    <border>
      <left/>
      <right style="thin">
        <color indexed="64"/>
      </right>
      <top/>
      <bottom style="thin">
        <color indexed="9"/>
      </bottom>
      <diagonal/>
    </border>
    <border>
      <left style="medium">
        <color indexed="64"/>
      </left>
      <right/>
      <top style="thin">
        <color indexed="64"/>
      </top>
      <bottom style="thin">
        <color indexed="64"/>
      </bottom>
      <diagonal/>
    </border>
    <border>
      <left style="thin">
        <color indexed="9"/>
      </left>
      <right style="thin">
        <color indexed="64"/>
      </right>
      <top style="thin">
        <color indexed="9"/>
      </top>
      <bottom/>
      <diagonal/>
    </border>
    <border>
      <left style="thin">
        <color indexed="9"/>
      </left>
      <right style="thin">
        <color indexed="64"/>
      </right>
      <top style="thin">
        <color indexed="9"/>
      </top>
      <bottom style="thin">
        <color indexed="9"/>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medium">
        <color indexed="64"/>
      </right>
      <top style="thin">
        <color indexed="64"/>
      </top>
      <bottom style="thin">
        <color indexed="64"/>
      </bottom>
      <diagonal/>
    </border>
    <border>
      <left style="thin">
        <color rgb="FFD0D7E5"/>
      </left>
      <right style="thin">
        <color rgb="FFD0D7E5"/>
      </right>
      <top style="thin">
        <color rgb="FFD0D7E5"/>
      </top>
      <bottom style="thin">
        <color rgb="FFD0D7E5"/>
      </bottom>
      <diagonal/>
    </border>
    <border>
      <left style="thin">
        <color auto="1"/>
      </left>
      <right style="thin">
        <color auto="1"/>
      </right>
      <top style="thin">
        <color auto="1"/>
      </top>
      <bottom style="thin">
        <color auto="1"/>
      </bottom>
      <diagonal/>
    </border>
  </borders>
  <cellStyleXfs count="6">
    <xf numFmtId="0" fontId="0" fillId="0" borderId="0">
      <alignment vertical="center"/>
    </xf>
    <xf numFmtId="0" fontId="5" fillId="2" borderId="0" applyNumberFormat="0" applyBorder="0" applyAlignment="0" applyProtection="0"/>
    <xf numFmtId="0" fontId="14" fillId="5" borderId="0" applyNumberFormat="0" applyBorder="0" applyAlignment="0" applyProtection="0"/>
    <xf numFmtId="0" fontId="3" fillId="0" borderId="0"/>
    <xf numFmtId="0" fontId="2" fillId="0" borderId="0"/>
    <xf numFmtId="0" fontId="1" fillId="0" borderId="0"/>
  </cellStyleXfs>
  <cellXfs count="428">
    <xf numFmtId="0" fontId="0" fillId="0" borderId="0" xfId="0">
      <alignment vertical="center"/>
    </xf>
    <xf numFmtId="0" fontId="4" fillId="0" borderId="0" xfId="0" applyFont="1" applyAlignment="1">
      <alignment horizontal="left" vertical="center"/>
    </xf>
    <xf numFmtId="0" fontId="4" fillId="0" borderId="0" xfId="0" applyFont="1" applyAlignment="1">
      <alignment horizontal="left" vertical="center"/>
    </xf>
    <xf numFmtId="0" fontId="0" fillId="0" borderId="0" xfId="0">
      <alignment vertical="center"/>
    </xf>
    <xf numFmtId="0" fontId="0" fillId="0" borderId="0" xfId="0" applyAlignment="1">
      <alignment horizontal="center" vertical="center"/>
    </xf>
    <xf numFmtId="0" fontId="4" fillId="0" borderId="1" xfId="0" applyFont="1" applyBorder="1" applyAlignment="1">
      <alignment horizontal="left" vertical="center"/>
    </xf>
    <xf numFmtId="0" fontId="0" fillId="0" borderId="6" xfId="0" applyBorder="1">
      <alignment vertical="center"/>
    </xf>
    <xf numFmtId="0" fontId="0" fillId="0" borderId="9" xfId="0" applyBorder="1">
      <alignment vertical="center"/>
    </xf>
    <xf numFmtId="0" fontId="4" fillId="0" borderId="3" xfId="0" applyFont="1" applyBorder="1" applyAlignment="1">
      <alignment horizontal="left" vertical="center"/>
    </xf>
    <xf numFmtId="0" fontId="4" fillId="0" borderId="0" xfId="0" applyFont="1" applyAlignment="1">
      <alignment horizontal="center" vertical="center"/>
    </xf>
    <xf numFmtId="0" fontId="4" fillId="0" borderId="8" xfId="0" applyFont="1" applyBorder="1" applyAlignment="1">
      <alignment horizontal="left" vertical="center"/>
    </xf>
    <xf numFmtId="0" fontId="0" fillId="0" borderId="0" xfId="0">
      <alignment vertical="center"/>
    </xf>
    <xf numFmtId="0" fontId="0" fillId="0" borderId="4" xfId="0" applyBorder="1">
      <alignment vertical="center"/>
    </xf>
    <xf numFmtId="0" fontId="0" fillId="0" borderId="0" xfId="0" applyFont="1">
      <alignment vertical="center"/>
    </xf>
    <xf numFmtId="0" fontId="8" fillId="0" borderId="1" xfId="0" applyFont="1" applyBorder="1" applyAlignment="1">
      <alignment horizontal="left" vertical="center"/>
    </xf>
    <xf numFmtId="0" fontId="0" fillId="0" borderId="1" xfId="0" applyFont="1" applyBorder="1" applyAlignment="1">
      <alignment horizontal="center" vertical="center"/>
    </xf>
    <xf numFmtId="0" fontId="10" fillId="0" borderId="1" xfId="0" applyFont="1" applyBorder="1" applyAlignment="1">
      <alignment horizontal="center" vertical="center"/>
    </xf>
    <xf numFmtId="0" fontId="0" fillId="0" borderId="0" xfId="0">
      <alignment vertical="center"/>
    </xf>
    <xf numFmtId="0" fontId="12" fillId="0" borderId="0" xfId="0" applyFont="1">
      <alignment vertical="center"/>
    </xf>
    <xf numFmtId="0" fontId="12" fillId="0" borderId="1" xfId="0" applyFont="1" applyBorder="1" applyAlignment="1">
      <alignment horizontal="left" vertical="center"/>
    </xf>
    <xf numFmtId="0" fontId="13" fillId="0" borderId="0" xfId="0" applyFont="1">
      <alignment vertical="center"/>
    </xf>
    <xf numFmtId="0" fontId="13" fillId="0" borderId="0" xfId="0" applyFont="1" applyAlignment="1">
      <alignment horizontal="center" vertical="center"/>
    </xf>
    <xf numFmtId="0" fontId="12" fillId="0" borderId="3" xfId="0" applyFont="1" applyBorder="1" applyAlignment="1">
      <alignment horizontal="left" vertical="center"/>
    </xf>
    <xf numFmtId="0" fontId="12" fillId="0" borderId="4" xfId="0" applyFont="1" applyBorder="1" applyAlignment="1">
      <alignment horizontal="center" vertical="center"/>
    </xf>
    <xf numFmtId="0" fontId="12" fillId="0" borderId="1" xfId="0" applyFont="1" applyBorder="1">
      <alignment vertical="center"/>
    </xf>
    <xf numFmtId="0" fontId="12" fillId="0" borderId="6" xfId="0" applyFont="1" applyBorder="1">
      <alignment vertical="center"/>
    </xf>
    <xf numFmtId="0" fontId="12" fillId="0" borderId="0" xfId="0" applyFont="1" applyAlignment="1">
      <alignment horizontal="center" vertical="center"/>
    </xf>
    <xf numFmtId="0" fontId="12" fillId="0" borderId="8" xfId="0" applyFont="1" applyBorder="1" applyAlignment="1">
      <alignment horizontal="left" vertical="center"/>
    </xf>
    <xf numFmtId="0" fontId="12" fillId="0" borderId="9" xfId="0" applyFont="1" applyBorder="1">
      <alignment vertical="center"/>
    </xf>
    <xf numFmtId="0" fontId="12" fillId="0" borderId="0" xfId="0" applyFont="1" applyBorder="1" applyAlignment="1">
      <alignment horizontal="left" vertical="center"/>
    </xf>
    <xf numFmtId="0" fontId="12" fillId="0" borderId="4" xfId="0" applyFont="1" applyBorder="1">
      <alignment vertical="center"/>
    </xf>
    <xf numFmtId="0" fontId="12" fillId="0" borderId="0" xfId="0" applyFont="1" applyAlignment="1">
      <alignment horizontal="left" vertical="center"/>
    </xf>
    <xf numFmtId="0" fontId="12" fillId="0" borderId="1" xfId="0" applyFont="1" applyFill="1" applyBorder="1" applyAlignment="1">
      <alignment horizontal="left" vertical="center"/>
    </xf>
    <xf numFmtId="0" fontId="12" fillId="0" borderId="1" xfId="0" applyFont="1" applyBorder="1" applyAlignment="1">
      <alignment horizontal="left" vertical="center"/>
    </xf>
    <xf numFmtId="0" fontId="13" fillId="0" borderId="0" xfId="0" applyFont="1">
      <alignment vertical="center"/>
    </xf>
    <xf numFmtId="0" fontId="11" fillId="0" borderId="0" xfId="0" applyFont="1">
      <alignment vertical="center"/>
    </xf>
    <xf numFmtId="0" fontId="4" fillId="0" borderId="0" xfId="0" applyFont="1" applyAlignment="1">
      <alignment horizontal="left" vertical="center"/>
    </xf>
    <xf numFmtId="0" fontId="0" fillId="0" borderId="0" xfId="0">
      <alignment vertical="center"/>
    </xf>
    <xf numFmtId="0" fontId="15" fillId="2" borderId="0" xfId="1" applyFont="1" applyAlignment="1">
      <alignment horizontal="left" vertical="center"/>
    </xf>
    <xf numFmtId="0" fontId="16" fillId="5" borderId="0" xfId="2" applyFont="1" applyAlignment="1">
      <alignment vertical="top" wrapText="1"/>
    </xf>
    <xf numFmtId="0" fontId="11" fillId="0" borderId="1" xfId="0" applyFont="1" applyBorder="1" applyAlignment="1">
      <alignment horizontal="left" vertical="center"/>
    </xf>
    <xf numFmtId="0" fontId="11" fillId="0" borderId="1" xfId="0" applyFont="1" applyBorder="1" applyAlignment="1">
      <alignment vertical="center"/>
    </xf>
    <xf numFmtId="0" fontId="11" fillId="0" borderId="8" xfId="0" applyFont="1" applyBorder="1" applyAlignment="1">
      <alignment horizontal="left" vertical="center"/>
    </xf>
    <xf numFmtId="0" fontId="12" fillId="0" borderId="6" xfId="0" applyFont="1" applyBorder="1" applyAlignment="1">
      <alignment horizontal="center" vertical="center"/>
    </xf>
    <xf numFmtId="0" fontId="12" fillId="0" borderId="1" xfId="0" applyFont="1" applyBorder="1" applyAlignment="1">
      <alignment horizontal="center" vertical="center"/>
    </xf>
    <xf numFmtId="0" fontId="12" fillId="0" borderId="1" xfId="0" applyFont="1" applyFill="1" applyBorder="1" applyAlignment="1">
      <alignment horizontal="center" vertical="center"/>
    </xf>
    <xf numFmtId="0" fontId="12" fillId="7" borderId="1" xfId="0" quotePrefix="1" applyFont="1" applyFill="1" applyBorder="1" applyAlignment="1">
      <alignment horizontal="center" vertical="center"/>
    </xf>
    <xf numFmtId="0" fontId="12" fillId="7" borderId="6" xfId="0" quotePrefix="1" applyFont="1" applyFill="1" applyBorder="1">
      <alignment vertical="center"/>
    </xf>
    <xf numFmtId="0" fontId="12" fillId="7" borderId="6" xfId="0" quotePrefix="1" applyFont="1" applyFill="1" applyBorder="1" applyAlignment="1">
      <alignment horizontal="center" vertical="center"/>
    </xf>
    <xf numFmtId="0" fontId="11" fillId="0" borderId="3" xfId="0" applyFont="1" applyBorder="1" applyAlignment="1">
      <alignment horizontal="left" vertical="center"/>
    </xf>
    <xf numFmtId="0" fontId="11" fillId="0" borderId="4" xfId="0" applyFont="1" applyBorder="1" applyAlignment="1">
      <alignment horizontal="center" vertical="center"/>
    </xf>
    <xf numFmtId="0" fontId="11" fillId="7" borderId="6" xfId="0" quotePrefix="1" applyFont="1" applyFill="1" applyBorder="1" applyAlignment="1">
      <alignment horizontal="center" vertical="center"/>
    </xf>
    <xf numFmtId="0" fontId="11" fillId="0" borderId="6" xfId="0" applyFont="1" applyBorder="1" applyAlignment="1">
      <alignment horizontal="center" vertical="center"/>
    </xf>
    <xf numFmtId="0" fontId="12" fillId="8" borderId="1" xfId="0" applyFont="1" applyFill="1" applyBorder="1" applyAlignment="1">
      <alignment horizontal="left" vertical="center"/>
    </xf>
    <xf numFmtId="0" fontId="15" fillId="2" borderId="1" xfId="1" applyFont="1" applyBorder="1" applyAlignment="1">
      <alignment vertical="center"/>
    </xf>
    <xf numFmtId="0" fontId="11" fillId="6" borderId="1" xfId="0" applyFont="1" applyFill="1" applyBorder="1" applyAlignment="1">
      <alignment horizontal="left" vertical="center"/>
    </xf>
    <xf numFmtId="0" fontId="11" fillId="6" borderId="3" xfId="0" applyFont="1" applyFill="1" applyBorder="1" applyAlignment="1">
      <alignment horizontal="left" vertical="center"/>
    </xf>
    <xf numFmtId="0" fontId="11" fillId="6" borderId="8" xfId="0" applyFont="1" applyFill="1" applyBorder="1" applyAlignment="1">
      <alignment horizontal="left" vertical="center"/>
    </xf>
    <xf numFmtId="0" fontId="15" fillId="2" borderId="1" xfId="1" applyFont="1" applyBorder="1" applyAlignment="1">
      <alignment horizontal="left" vertical="center"/>
    </xf>
    <xf numFmtId="0" fontId="11" fillId="0" borderId="6" xfId="0" applyFont="1" applyBorder="1">
      <alignment vertical="center"/>
    </xf>
    <xf numFmtId="0" fontId="11" fillId="0" borderId="9" xfId="0" applyFont="1" applyBorder="1">
      <alignment vertical="center"/>
    </xf>
    <xf numFmtId="0" fontId="11" fillId="0" borderId="4" xfId="0" applyFont="1" applyBorder="1">
      <alignment vertical="center"/>
    </xf>
    <xf numFmtId="0" fontId="11" fillId="0" borderId="4" xfId="0" quotePrefix="1" applyFont="1" applyBorder="1" applyAlignment="1">
      <alignment horizontal="center" vertical="center"/>
    </xf>
    <xf numFmtId="0" fontId="11" fillId="0" borderId="6" xfId="0" quotePrefix="1" applyFont="1" applyBorder="1" applyAlignment="1">
      <alignment horizontal="center" vertical="center"/>
    </xf>
    <xf numFmtId="0" fontId="11" fillId="0" borderId="9" xfId="0" quotePrefix="1" applyFont="1" applyBorder="1" applyAlignment="1">
      <alignment horizontal="center" vertical="center"/>
    </xf>
    <xf numFmtId="0" fontId="12" fillId="0" borderId="6" xfId="0" applyFont="1" applyFill="1" applyBorder="1">
      <alignment vertical="center"/>
    </xf>
    <xf numFmtId="0" fontId="8" fillId="0" borderId="1" xfId="0" applyFont="1" applyBorder="1" applyAlignment="1">
      <alignment horizontal="left" vertical="center"/>
    </xf>
    <xf numFmtId="0" fontId="9" fillId="0" borderId="1" xfId="0" applyFont="1" applyBorder="1" applyAlignment="1">
      <alignment horizontal="left" vertical="center"/>
    </xf>
    <xf numFmtId="0" fontId="0" fillId="0" borderId="0" xfId="0">
      <alignment vertical="center"/>
    </xf>
    <xf numFmtId="0" fontId="12" fillId="9" borderId="6" xfId="0" applyFont="1" applyFill="1" applyBorder="1" applyAlignment="1">
      <alignment horizontal="center" vertical="center"/>
    </xf>
    <xf numFmtId="0" fontId="12" fillId="9" borderId="9" xfId="0" applyFont="1" applyFill="1" applyBorder="1" applyAlignment="1">
      <alignment horizontal="center" vertical="center"/>
    </xf>
    <xf numFmtId="0" fontId="11" fillId="9" borderId="6" xfId="0" applyFont="1" applyFill="1" applyBorder="1" applyAlignment="1">
      <alignment horizontal="center" vertical="center"/>
    </xf>
    <xf numFmtId="0" fontId="11" fillId="9" borderId="9" xfId="0" applyFont="1" applyFill="1" applyBorder="1" applyAlignment="1">
      <alignment horizontal="center" vertical="center"/>
    </xf>
    <xf numFmtId="0" fontId="11" fillId="9" borderId="4" xfId="0" applyFont="1" applyFill="1" applyBorder="1" applyAlignment="1">
      <alignment horizontal="center" vertical="center"/>
    </xf>
    <xf numFmtId="0" fontId="0" fillId="9" borderId="1" xfId="0" applyFont="1" applyFill="1" applyBorder="1" applyAlignment="1">
      <alignment horizontal="center" vertical="center"/>
    </xf>
    <xf numFmtId="0" fontId="0" fillId="9" borderId="1" xfId="0" quotePrefix="1" applyFont="1" applyFill="1" applyBorder="1" applyAlignment="1">
      <alignment horizontal="center" vertical="center"/>
    </xf>
    <xf numFmtId="0" fontId="0" fillId="9" borderId="1" xfId="0" applyFont="1" applyFill="1" applyBorder="1" applyAlignment="1">
      <alignment horizontal="center" vertical="center" wrapText="1"/>
    </xf>
    <xf numFmtId="0" fontId="17" fillId="0" borderId="0" xfId="0" applyFont="1">
      <alignment vertical="center"/>
    </xf>
    <xf numFmtId="0" fontId="11" fillId="4" borderId="0" xfId="0" applyFont="1" applyFill="1">
      <alignment vertical="center"/>
    </xf>
    <xf numFmtId="0" fontId="11" fillId="0" borderId="1" xfId="0" applyFont="1" applyBorder="1" applyAlignment="1">
      <alignment horizontal="left" vertical="center"/>
    </xf>
    <xf numFmtId="0" fontId="11" fillId="0" borderId="0" xfId="0" applyFont="1" applyAlignment="1">
      <alignment horizontal="left" vertical="center"/>
    </xf>
    <xf numFmtId="0" fontId="11" fillId="0" borderId="0" xfId="0" applyFont="1">
      <alignment vertical="center"/>
    </xf>
    <xf numFmtId="0" fontId="12" fillId="0" borderId="1" xfId="0" applyFont="1" applyFill="1" applyBorder="1" applyAlignment="1">
      <alignment horizontal="left" vertical="center"/>
    </xf>
    <xf numFmtId="0" fontId="8" fillId="0" borderId="1" xfId="0" applyFont="1" applyBorder="1" applyAlignment="1">
      <alignment horizontal="left" vertical="center"/>
    </xf>
    <xf numFmtId="0" fontId="0" fillId="0" borderId="1" xfId="0" applyFont="1" applyBorder="1">
      <alignment vertical="center"/>
    </xf>
    <xf numFmtId="0" fontId="11" fillId="0" borderId="0" xfId="0" applyFont="1" applyAlignment="1">
      <alignment horizontal="left" vertical="center"/>
    </xf>
    <xf numFmtId="0" fontId="11" fillId="0" borderId="0" xfId="0" applyFont="1">
      <alignment vertical="center"/>
    </xf>
    <xf numFmtId="0" fontId="11" fillId="0" borderId="1" xfId="0" applyFont="1" applyBorder="1" applyAlignment="1">
      <alignment horizontal="left" vertical="center"/>
    </xf>
    <xf numFmtId="0" fontId="11" fillId="0" borderId="1" xfId="0" applyFont="1" applyBorder="1">
      <alignment vertical="center"/>
    </xf>
    <xf numFmtId="0" fontId="11" fillId="0" borderId="3" xfId="0" applyFont="1" applyBorder="1" applyAlignment="1">
      <alignment horizontal="left" vertical="center"/>
    </xf>
    <xf numFmtId="0" fontId="0" fillId="0" borderId="0" xfId="0">
      <alignment vertical="center"/>
    </xf>
    <xf numFmtId="0" fontId="11" fillId="0" borderId="0" xfId="0" applyFont="1" applyAlignment="1">
      <alignment horizontal="center" vertical="center"/>
    </xf>
    <xf numFmtId="0" fontId="11" fillId="4" borderId="6" xfId="0" applyFont="1" applyFill="1" applyBorder="1" applyAlignment="1">
      <alignment horizontal="center" vertical="center"/>
    </xf>
    <xf numFmtId="0" fontId="11" fillId="0" borderId="9" xfId="0" applyFont="1" applyBorder="1" applyAlignment="1">
      <alignment horizontal="center" vertical="center"/>
    </xf>
    <xf numFmtId="0" fontId="11" fillId="4" borderId="9" xfId="0" applyFont="1" applyFill="1" applyBorder="1" applyAlignment="1">
      <alignment horizontal="center" vertical="center"/>
    </xf>
    <xf numFmtId="0" fontId="11" fillId="0" borderId="0" xfId="0" applyFont="1" applyBorder="1">
      <alignment vertical="center"/>
    </xf>
    <xf numFmtId="0" fontId="11" fillId="0" borderId="0" xfId="0" applyFont="1" applyBorder="1" applyAlignment="1">
      <alignment horizontal="left" vertical="center"/>
    </xf>
    <xf numFmtId="0" fontId="19" fillId="0" borderId="1" xfId="0" applyFont="1" applyBorder="1" applyAlignment="1">
      <alignment horizontal="left" vertical="center"/>
    </xf>
    <xf numFmtId="0" fontId="12" fillId="0" borderId="1" xfId="0" quotePrefix="1" applyFont="1" applyFill="1" applyBorder="1" applyAlignment="1">
      <alignment horizontal="center" vertical="center"/>
    </xf>
    <xf numFmtId="0" fontId="10" fillId="7" borderId="1" xfId="0" applyFont="1" applyFill="1" applyBorder="1">
      <alignment vertical="center"/>
    </xf>
    <xf numFmtId="0" fontId="11" fillId="0" borderId="0" xfId="0" applyFont="1" applyAlignment="1"/>
    <xf numFmtId="0" fontId="15" fillId="0" borderId="0" xfId="1" applyFont="1" applyFill="1" applyAlignment="1">
      <alignment horizontal="left" vertical="center"/>
    </xf>
    <xf numFmtId="0" fontId="16" fillId="0" borderId="0" xfId="2" applyFont="1" applyFill="1" applyAlignment="1">
      <alignment vertical="top" wrapText="1"/>
    </xf>
    <xf numFmtId="0" fontId="0" fillId="0" borderId="0" xfId="0" applyFont="1" applyAlignment="1">
      <alignment horizontal="center" vertical="center"/>
    </xf>
    <xf numFmtId="0" fontId="8" fillId="0" borderId="3" xfId="0" applyFont="1" applyBorder="1" applyAlignment="1">
      <alignment horizontal="left" vertical="center"/>
    </xf>
    <xf numFmtId="0" fontId="0" fillId="0" borderId="3" xfId="0" applyFont="1" applyBorder="1">
      <alignment vertical="center"/>
    </xf>
    <xf numFmtId="0" fontId="0" fillId="7" borderId="1" xfId="0" applyFont="1" applyFill="1" applyBorder="1">
      <alignment vertical="center"/>
    </xf>
    <xf numFmtId="0" fontId="0" fillId="0" borderId="6" xfId="0" applyFont="1" applyBorder="1" applyAlignment="1">
      <alignment horizontal="center" vertical="center"/>
    </xf>
    <xf numFmtId="0" fontId="8" fillId="7" borderId="1" xfId="0" applyFont="1" applyFill="1" applyBorder="1" applyAlignment="1">
      <alignment horizontal="left" vertical="center"/>
    </xf>
    <xf numFmtId="0" fontId="8" fillId="3" borderId="1" xfId="0" applyFont="1" applyFill="1" applyBorder="1" applyAlignment="1">
      <alignment horizontal="left" vertical="center"/>
    </xf>
    <xf numFmtId="0" fontId="0" fillId="3" borderId="1" xfId="0" applyFont="1" applyFill="1" applyBorder="1">
      <alignment vertical="center"/>
    </xf>
    <xf numFmtId="0" fontId="0" fillId="3" borderId="6" xfId="0" applyFont="1" applyFill="1" applyBorder="1" applyAlignment="1">
      <alignment horizontal="center" vertical="center"/>
    </xf>
    <xf numFmtId="0" fontId="8" fillId="0" borderId="8" xfId="0" applyFont="1" applyBorder="1" applyAlignment="1">
      <alignment horizontal="left" vertical="center"/>
    </xf>
    <xf numFmtId="0" fontId="0" fillId="0" borderId="8" xfId="0" applyFont="1" applyBorder="1">
      <alignment vertical="center"/>
    </xf>
    <xf numFmtId="0" fontId="0" fillId="0" borderId="9" xfId="0" applyFont="1" applyBorder="1" applyAlignment="1">
      <alignment horizontal="center" vertical="center"/>
    </xf>
    <xf numFmtId="0" fontId="8" fillId="0" borderId="0" xfId="0" applyFont="1" applyAlignment="1">
      <alignment horizontal="left" vertical="center"/>
    </xf>
    <xf numFmtId="0" fontId="8" fillId="0" borderId="0" xfId="0" applyFont="1" applyAlignment="1">
      <alignment horizontal="center" vertical="center"/>
    </xf>
    <xf numFmtId="0" fontId="11" fillId="4" borderId="1" xfId="0" applyFont="1" applyFill="1" applyBorder="1">
      <alignment vertical="center"/>
    </xf>
    <xf numFmtId="0" fontId="12" fillId="0" borderId="3" xfId="0" applyFont="1" applyBorder="1" applyAlignment="1">
      <alignment horizontal="left" vertical="center"/>
    </xf>
    <xf numFmtId="0" fontId="12" fillId="0" borderId="1" xfId="0" applyFont="1" applyBorder="1" applyAlignment="1">
      <alignment horizontal="left" vertical="center"/>
    </xf>
    <xf numFmtId="0" fontId="12" fillId="0" borderId="8" xfId="0" applyFont="1" applyBorder="1" applyAlignment="1">
      <alignment horizontal="left" vertical="center"/>
    </xf>
    <xf numFmtId="0" fontId="0" fillId="0" borderId="0" xfId="0">
      <alignment vertical="center"/>
    </xf>
    <xf numFmtId="0" fontId="3" fillId="0" borderId="0" xfId="3"/>
    <xf numFmtId="0" fontId="3" fillId="0" borderId="0" xfId="3" quotePrefix="1"/>
    <xf numFmtId="0" fontId="22" fillId="10" borderId="1" xfId="3" applyFont="1" applyFill="1" applyBorder="1" applyAlignment="1">
      <alignment horizontal="center" vertical="center"/>
    </xf>
    <xf numFmtId="0" fontId="24" fillId="10" borderId="1" xfId="3" applyFont="1" applyFill="1" applyBorder="1" applyAlignment="1">
      <alignment horizontal="center" vertical="center"/>
    </xf>
    <xf numFmtId="0" fontId="22" fillId="12" borderId="1" xfId="3" applyFont="1" applyFill="1" applyBorder="1" applyAlignment="1">
      <alignment horizontal="center" vertical="center"/>
    </xf>
    <xf numFmtId="0" fontId="3" fillId="13" borderId="1" xfId="3" applyFill="1" applyBorder="1" applyAlignment="1">
      <alignment horizontal="center"/>
    </xf>
    <xf numFmtId="0" fontId="3" fillId="4" borderId="1" xfId="3" applyFill="1" applyBorder="1" applyAlignment="1">
      <alignment horizontal="center"/>
    </xf>
    <xf numFmtId="0" fontId="3" fillId="11" borderId="1" xfId="3" applyFill="1" applyBorder="1" applyAlignment="1">
      <alignment horizontal="center"/>
    </xf>
    <xf numFmtId="0" fontId="3" fillId="0" borderId="1" xfId="3" applyFill="1" applyBorder="1" applyAlignment="1">
      <alignment horizontal="center"/>
    </xf>
    <xf numFmtId="0" fontId="3" fillId="0" borderId="0" xfId="3" applyFill="1"/>
    <xf numFmtId="0" fontId="3" fillId="0" borderId="1" xfId="3" applyFill="1" applyBorder="1"/>
    <xf numFmtId="0" fontId="3" fillId="0" borderId="13" xfId="3" applyFill="1" applyBorder="1"/>
    <xf numFmtId="0" fontId="3" fillId="0" borderId="24" xfId="3" applyFill="1" applyBorder="1"/>
    <xf numFmtId="0" fontId="3" fillId="11" borderId="13" xfId="3" applyFill="1" applyBorder="1" applyAlignment="1">
      <alignment horizontal="centerContinuous" wrapText="1"/>
    </xf>
    <xf numFmtId="0" fontId="3" fillId="11" borderId="24" xfId="3" applyFill="1" applyBorder="1"/>
    <xf numFmtId="0" fontId="3" fillId="11" borderId="13" xfId="3" applyFill="1" applyBorder="1"/>
    <xf numFmtId="0" fontId="3" fillId="11" borderId="1" xfId="3" applyFill="1" applyBorder="1"/>
    <xf numFmtId="0" fontId="24" fillId="12" borderId="1" xfId="3" applyFont="1" applyFill="1" applyBorder="1" applyAlignment="1">
      <alignment horizontal="center" vertical="center"/>
    </xf>
    <xf numFmtId="0" fontId="3" fillId="11" borderId="1" xfId="3" applyFill="1" applyBorder="1" applyAlignment="1">
      <alignment horizontal="center" wrapText="1"/>
    </xf>
    <xf numFmtId="0" fontId="3" fillId="0" borderId="0" xfId="3" applyBorder="1"/>
    <xf numFmtId="0" fontId="3" fillId="0" borderId="0" xfId="3" applyFill="1" applyBorder="1"/>
    <xf numFmtId="0" fontId="23" fillId="0" borderId="13" xfId="3" applyFont="1" applyFill="1" applyBorder="1" applyAlignment="1">
      <alignment horizontal="centerContinuous" wrapText="1"/>
    </xf>
    <xf numFmtId="0" fontId="23" fillId="11" borderId="13" xfId="3" applyFont="1" applyFill="1" applyBorder="1" applyAlignment="1">
      <alignment horizontal="centerContinuous" wrapText="1"/>
    </xf>
    <xf numFmtId="0" fontId="25" fillId="0" borderId="13" xfId="3" applyFont="1" applyFill="1" applyBorder="1"/>
    <xf numFmtId="0" fontId="25" fillId="11" borderId="24" xfId="3" applyFont="1" applyFill="1" applyBorder="1"/>
    <xf numFmtId="0" fontId="22" fillId="0" borderId="0" xfId="3" applyFont="1" applyBorder="1" applyAlignment="1">
      <alignment horizontal="center" vertical="center"/>
    </xf>
    <xf numFmtId="0" fontId="24" fillId="0" borderId="0" xfId="3" applyFont="1" applyBorder="1" applyAlignment="1">
      <alignment horizontal="center" vertical="center"/>
    </xf>
    <xf numFmtId="0" fontId="26" fillId="0" borderId="20" xfId="3" applyFont="1" applyFill="1" applyBorder="1" applyAlignment="1">
      <alignment textRotation="45" wrapText="1"/>
    </xf>
    <xf numFmtId="0" fontId="22" fillId="0" borderId="0" xfId="3" applyFont="1" applyFill="1" applyBorder="1" applyAlignment="1" applyProtection="1">
      <alignment horizontal="center"/>
      <protection locked="0"/>
    </xf>
    <xf numFmtId="0" fontId="26" fillId="0" borderId="1" xfId="3" applyFont="1" applyFill="1" applyBorder="1" applyAlignment="1">
      <alignment textRotation="45" wrapText="1"/>
    </xf>
    <xf numFmtId="0" fontId="26" fillId="11" borderId="1" xfId="3" applyFont="1" applyFill="1" applyBorder="1" applyAlignment="1">
      <alignment textRotation="45"/>
    </xf>
    <xf numFmtId="0" fontId="26" fillId="0" borderId="1" xfId="3" applyFont="1" applyFill="1" applyBorder="1" applyAlignment="1">
      <alignment textRotation="45"/>
    </xf>
    <xf numFmtId="0" fontId="26" fillId="11" borderId="1" xfId="3" applyFont="1" applyFill="1" applyBorder="1" applyAlignment="1">
      <alignment textRotation="45" wrapText="1"/>
    </xf>
    <xf numFmtId="0" fontId="26" fillId="11" borderId="1" xfId="3" applyFont="1" applyFill="1" applyBorder="1" applyAlignment="1">
      <alignment horizontal="center" textRotation="45"/>
    </xf>
    <xf numFmtId="0" fontId="22" fillId="0" borderId="0" xfId="3" applyFont="1" applyFill="1" applyBorder="1" applyAlignment="1" applyProtection="1">
      <protection locked="0"/>
    </xf>
    <xf numFmtId="0" fontId="26" fillId="4" borderId="1" xfId="3" applyFont="1" applyFill="1" applyBorder="1" applyAlignment="1">
      <alignment textRotation="45" wrapText="1"/>
    </xf>
    <xf numFmtId="0" fontId="26" fillId="13" borderId="1" xfId="3" applyFont="1" applyFill="1" applyBorder="1" applyAlignment="1">
      <alignment textRotation="45" wrapText="1"/>
    </xf>
    <xf numFmtId="0" fontId="26" fillId="12" borderId="1" xfId="3" applyFont="1" applyFill="1" applyBorder="1" applyAlignment="1">
      <alignment textRotation="45" wrapText="1"/>
    </xf>
    <xf numFmtId="0" fontId="26" fillId="10" borderId="1" xfId="3" applyFont="1" applyFill="1" applyBorder="1" applyAlignment="1">
      <alignment textRotation="45" wrapText="1"/>
    </xf>
    <xf numFmtId="0" fontId="24" fillId="0" borderId="23" xfId="3" applyFont="1" applyFill="1" applyBorder="1" applyAlignment="1">
      <alignment horizontal="left" vertical="center"/>
    </xf>
    <xf numFmtId="0" fontId="22" fillId="0" borderId="26" xfId="3" applyFont="1" applyFill="1" applyBorder="1" applyAlignment="1">
      <alignment horizontal="center" vertical="center"/>
    </xf>
    <xf numFmtId="0" fontId="22" fillId="0" borderId="25" xfId="3" applyFont="1" applyFill="1" applyBorder="1" applyAlignment="1">
      <alignment horizontal="center" vertical="center"/>
    </xf>
    <xf numFmtId="0" fontId="2" fillId="0" borderId="0" xfId="4"/>
    <xf numFmtId="0" fontId="2" fillId="0" borderId="0" xfId="4" applyFill="1"/>
    <xf numFmtId="0" fontId="2" fillId="0" borderId="0" xfId="4" applyBorder="1"/>
    <xf numFmtId="0" fontId="28" fillId="0" borderId="0" xfId="4" applyFont="1" applyFill="1" applyBorder="1"/>
    <xf numFmtId="0" fontId="26" fillId="0" borderId="0" xfId="4" applyFont="1" applyFill="1" applyBorder="1" applyAlignment="1">
      <alignment horizontal="center"/>
    </xf>
    <xf numFmtId="0" fontId="29" fillId="0" borderId="0" xfId="4" applyFont="1" applyFill="1" applyBorder="1" applyAlignment="1">
      <alignment horizontal="center"/>
    </xf>
    <xf numFmtId="0" fontId="29" fillId="0" borderId="0" xfId="4" quotePrefix="1" applyFont="1" applyFill="1" applyBorder="1" applyAlignment="1">
      <alignment horizontal="center"/>
    </xf>
    <xf numFmtId="0" fontId="2" fillId="0" borderId="0" xfId="4" applyFill="1" applyBorder="1"/>
    <xf numFmtId="0" fontId="2" fillId="15" borderId="0" xfId="4" applyFill="1"/>
    <xf numFmtId="0" fontId="30" fillId="0" borderId="0" xfId="4" applyFont="1" applyFill="1" applyBorder="1" applyAlignment="1">
      <alignment horizontal="center"/>
    </xf>
    <xf numFmtId="0" fontId="26" fillId="0" borderId="0" xfId="4" applyFont="1" applyFill="1" applyBorder="1" applyAlignment="1">
      <alignment horizontal="center" wrapText="1"/>
    </xf>
    <xf numFmtId="0" fontId="32" fillId="0" borderId="0" xfId="4" applyFont="1" applyFill="1" applyBorder="1" applyAlignment="1">
      <alignment horizontal="center" vertical="center"/>
    </xf>
    <xf numFmtId="0" fontId="2" fillId="0" borderId="0" xfId="4" applyFill="1" applyBorder="1" applyAlignment="1">
      <alignment horizontal="center"/>
    </xf>
    <xf numFmtId="0" fontId="33" fillId="0" borderId="0" xfId="4" applyFont="1" applyFill="1" applyBorder="1" applyAlignment="1">
      <alignment horizontal="center"/>
    </xf>
    <xf numFmtId="0" fontId="34" fillId="0" borderId="0" xfId="4" applyFont="1" applyFill="1" applyBorder="1"/>
    <xf numFmtId="0" fontId="31" fillId="0" borderId="0" xfId="4" applyFont="1" applyFill="1"/>
    <xf numFmtId="0" fontId="35" fillId="0" borderId="0" xfId="4" applyFont="1"/>
    <xf numFmtId="0" fontId="35" fillId="0" borderId="0" xfId="4" applyFont="1" applyAlignment="1">
      <alignment horizontal="center"/>
    </xf>
    <xf numFmtId="0" fontId="26" fillId="0" borderId="0" xfId="4" applyFont="1" applyBorder="1" applyAlignment="1">
      <alignment horizontal="center"/>
    </xf>
    <xf numFmtId="0" fontId="26" fillId="0" borderId="1" xfId="4" applyFont="1" applyBorder="1" applyAlignment="1">
      <alignment horizontal="center"/>
    </xf>
    <xf numFmtId="0" fontId="26" fillId="8" borderId="1" xfId="4" applyFont="1" applyFill="1" applyBorder="1" applyAlignment="1">
      <alignment horizontal="center" wrapText="1"/>
    </xf>
    <xf numFmtId="0" fontId="26" fillId="16" borderId="1" xfId="4" applyFont="1" applyFill="1" applyBorder="1" applyAlignment="1">
      <alignment horizontal="center" wrapText="1"/>
    </xf>
    <xf numFmtId="0" fontId="26" fillId="17" borderId="1" xfId="4" applyFont="1" applyFill="1" applyBorder="1" applyAlignment="1">
      <alignment horizontal="center" wrapText="1"/>
    </xf>
    <xf numFmtId="0" fontId="26" fillId="18" borderId="1" xfId="4" applyFont="1" applyFill="1" applyBorder="1" applyAlignment="1">
      <alignment horizontal="center" wrapText="1"/>
    </xf>
    <xf numFmtId="0" fontId="36" fillId="0" borderId="0" xfId="4" applyFont="1"/>
    <xf numFmtId="0" fontId="37" fillId="0" borderId="0" xfId="4" applyFont="1"/>
    <xf numFmtId="0" fontId="38" fillId="0" borderId="0" xfId="4" applyFont="1" applyAlignment="1">
      <alignment horizontal="center"/>
    </xf>
    <xf numFmtId="0" fontId="39" fillId="0" borderId="0" xfId="4" applyFont="1" applyAlignment="1">
      <alignment horizontal="right"/>
    </xf>
    <xf numFmtId="0" fontId="35" fillId="0" borderId="0" xfId="4" applyFont="1" applyAlignment="1">
      <alignment horizontal="right"/>
    </xf>
    <xf numFmtId="0" fontId="40" fillId="0" borderId="0" xfId="4" applyFont="1"/>
    <xf numFmtId="0" fontId="41" fillId="0" borderId="0" xfId="4" applyFont="1"/>
    <xf numFmtId="0" fontId="42" fillId="0" borderId="0" xfId="4" applyFont="1"/>
    <xf numFmtId="0" fontId="43" fillId="15" borderId="13" xfId="4" applyFont="1" applyFill="1" applyBorder="1"/>
    <xf numFmtId="0" fontId="43" fillId="15" borderId="1" xfId="4" applyFont="1" applyFill="1" applyBorder="1" applyAlignment="1">
      <alignment horizontal="center"/>
    </xf>
    <xf numFmtId="0" fontId="44" fillId="15" borderId="1" xfId="4" applyFont="1" applyFill="1" applyBorder="1" applyAlignment="1">
      <alignment horizontal="center"/>
    </xf>
    <xf numFmtId="0" fontId="43" fillId="0" borderId="0" xfId="4" applyFont="1" applyFill="1"/>
    <xf numFmtId="0" fontId="43" fillId="15" borderId="0" xfId="4" applyFont="1" applyFill="1"/>
    <xf numFmtId="0" fontId="43" fillId="0" borderId="13" xfId="4" applyFont="1" applyBorder="1"/>
    <xf numFmtId="0" fontId="43" fillId="18" borderId="1" xfId="4" applyFont="1" applyFill="1" applyBorder="1" applyAlignment="1">
      <alignment horizontal="center"/>
    </xf>
    <xf numFmtId="0" fontId="43" fillId="17" borderId="1" xfId="4" applyFont="1" applyFill="1" applyBorder="1" applyAlignment="1">
      <alignment horizontal="center"/>
    </xf>
    <xf numFmtId="0" fontId="44" fillId="16" borderId="1" xfId="4" applyFont="1" applyFill="1" applyBorder="1" applyAlignment="1">
      <alignment horizontal="center"/>
    </xf>
    <xf numFmtId="0" fontId="44" fillId="8" borderId="1" xfId="4" applyFont="1" applyFill="1" applyBorder="1" applyAlignment="1">
      <alignment horizontal="center"/>
    </xf>
    <xf numFmtId="0" fontId="43" fillId="0" borderId="0" xfId="4" applyFont="1"/>
    <xf numFmtId="0" fontId="43" fillId="0" borderId="1" xfId="4" applyFont="1" applyFill="1" applyBorder="1"/>
    <xf numFmtId="0" fontId="43" fillId="15" borderId="1" xfId="4" applyFont="1" applyFill="1" applyBorder="1"/>
    <xf numFmtId="0" fontId="44" fillId="15" borderId="1" xfId="4" quotePrefix="1" applyFont="1" applyFill="1" applyBorder="1" applyAlignment="1">
      <alignment horizontal="center"/>
    </xf>
    <xf numFmtId="0" fontId="43" fillId="0" borderId="1" xfId="4" applyFont="1" applyBorder="1"/>
    <xf numFmtId="0" fontId="44" fillId="18" borderId="1" xfId="4" quotePrefix="1" applyFont="1" applyFill="1" applyBorder="1" applyAlignment="1">
      <alignment horizontal="center"/>
    </xf>
    <xf numFmtId="0" fontId="43" fillId="8" borderId="1" xfId="4" applyFont="1" applyFill="1" applyBorder="1" applyAlignment="1">
      <alignment horizontal="center"/>
    </xf>
    <xf numFmtId="0" fontId="18" fillId="0" borderId="19" xfId="4" applyFont="1" applyFill="1" applyBorder="1"/>
    <xf numFmtId="0" fontId="2" fillId="0" borderId="3" xfId="0" applyFont="1" applyBorder="1" applyAlignment="1">
      <alignment horizontal="left" vertical="center"/>
    </xf>
    <xf numFmtId="0" fontId="2" fillId="0" borderId="4" xfId="0" applyFont="1" applyBorder="1">
      <alignment vertical="center"/>
    </xf>
    <xf numFmtId="0" fontId="2" fillId="0" borderId="1" xfId="0" applyFont="1" applyBorder="1" applyAlignment="1">
      <alignment horizontal="left" vertical="center"/>
    </xf>
    <xf numFmtId="0" fontId="2" fillId="0" borderId="6" xfId="0" applyFont="1" applyBorder="1">
      <alignment vertical="center"/>
    </xf>
    <xf numFmtId="0" fontId="2" fillId="0" borderId="8" xfId="0" applyFont="1" applyBorder="1" applyAlignment="1">
      <alignment horizontal="left" vertical="center"/>
    </xf>
    <xf numFmtId="0" fontId="2" fillId="0" borderId="9" xfId="0" applyFont="1" applyBorder="1">
      <alignment vertical="center"/>
    </xf>
    <xf numFmtId="0" fontId="11" fillId="0" borderId="1" xfId="0" applyFont="1" applyBorder="1" applyAlignment="1">
      <alignment horizontal="left" vertical="center"/>
    </xf>
    <xf numFmtId="0" fontId="11" fillId="0" borderId="0" xfId="0" applyFont="1">
      <alignment vertical="center"/>
    </xf>
    <xf numFmtId="0" fontId="0" fillId="0" borderId="0" xfId="0">
      <alignment vertical="center"/>
    </xf>
    <xf numFmtId="0" fontId="11" fillId="4" borderId="6" xfId="0" quotePrefix="1" applyFont="1" applyFill="1" applyBorder="1" applyAlignment="1">
      <alignment horizontal="center" vertical="center"/>
    </xf>
    <xf numFmtId="0" fontId="12" fillId="9" borderId="4" xfId="0" applyFont="1" applyFill="1" applyBorder="1" applyAlignment="1">
      <alignment horizontal="center" vertical="center"/>
    </xf>
    <xf numFmtId="0" fontId="11" fillId="6" borderId="1" xfId="0" applyFont="1" applyFill="1" applyBorder="1" applyAlignment="1">
      <alignment vertical="center"/>
    </xf>
    <xf numFmtId="0" fontId="0" fillId="0" borderId="30" xfId="0" applyBorder="1" applyAlignment="1">
      <alignment horizontal="center" vertical="center" textRotation="45"/>
    </xf>
    <xf numFmtId="0" fontId="11" fillId="17" borderId="0" xfId="0" applyFont="1" applyFill="1" applyAlignment="1">
      <alignment horizontal="left" vertical="center"/>
    </xf>
    <xf numFmtId="0" fontId="11" fillId="17" borderId="0" xfId="0" applyFont="1" applyFill="1">
      <alignment vertical="center"/>
    </xf>
    <xf numFmtId="0" fontId="11" fillId="6" borderId="20" xfId="0" applyFont="1" applyFill="1" applyBorder="1" applyAlignment="1">
      <alignment vertical="center"/>
    </xf>
    <xf numFmtId="0" fontId="0" fillId="0" borderId="31" xfId="0" applyBorder="1">
      <alignment vertical="center"/>
    </xf>
    <xf numFmtId="0" fontId="0" fillId="0" borderId="32" xfId="0" applyBorder="1" applyAlignment="1">
      <alignment horizontal="center" vertical="center" textRotation="45"/>
    </xf>
    <xf numFmtId="0" fontId="11" fillId="17" borderId="1" xfId="0" applyFont="1" applyFill="1" applyBorder="1" applyAlignment="1">
      <alignment vertical="center"/>
    </xf>
    <xf numFmtId="0" fontId="11" fillId="17" borderId="8" xfId="0" applyFont="1" applyFill="1" applyBorder="1" applyAlignment="1">
      <alignment vertical="center"/>
    </xf>
    <xf numFmtId="0" fontId="11" fillId="17" borderId="1" xfId="0" applyFont="1" applyFill="1" applyBorder="1" applyAlignment="1">
      <alignment horizontal="left" vertical="center"/>
    </xf>
    <xf numFmtId="0" fontId="11" fillId="17" borderId="8" xfId="0" applyFont="1" applyFill="1" applyBorder="1" applyAlignment="1">
      <alignment horizontal="left" vertical="center"/>
    </xf>
    <xf numFmtId="0" fontId="11" fillId="0" borderId="0" xfId="0" applyFont="1" applyAlignment="1">
      <alignment vertical="center" wrapText="1"/>
    </xf>
    <xf numFmtId="0" fontId="11" fillId="17" borderId="3" xfId="0" applyFont="1" applyFill="1" applyBorder="1" applyAlignment="1">
      <alignment horizontal="center" vertical="center"/>
    </xf>
    <xf numFmtId="0" fontId="11" fillId="17" borderId="4" xfId="0" applyFont="1" applyFill="1" applyBorder="1" applyAlignment="1">
      <alignment horizontal="center" vertical="center"/>
    </xf>
    <xf numFmtId="0" fontId="11" fillId="17" borderId="1" xfId="0" applyFont="1" applyFill="1" applyBorder="1" applyAlignment="1">
      <alignment horizontal="center" vertical="center"/>
    </xf>
    <xf numFmtId="0" fontId="11" fillId="17" borderId="6" xfId="0" applyFont="1" applyFill="1" applyBorder="1" applyAlignment="1">
      <alignment horizontal="center" vertical="center"/>
    </xf>
    <xf numFmtId="0" fontId="11" fillId="0" borderId="1" xfId="0" applyFont="1" applyFill="1" applyBorder="1" applyAlignment="1">
      <alignment horizontal="center" vertical="center"/>
    </xf>
    <xf numFmtId="0" fontId="11" fillId="0" borderId="6" xfId="0" applyFont="1" applyFill="1" applyBorder="1" applyAlignment="1">
      <alignment horizontal="center" vertical="center"/>
    </xf>
    <xf numFmtId="0" fontId="11" fillId="17" borderId="8" xfId="0" applyFont="1" applyFill="1" applyBorder="1" applyAlignment="1">
      <alignment horizontal="center" vertical="center"/>
    </xf>
    <xf numFmtId="0" fontId="11" fillId="17" borderId="9" xfId="0" applyFont="1" applyFill="1" applyBorder="1" applyAlignment="1">
      <alignment horizontal="center" vertical="center"/>
    </xf>
    <xf numFmtId="0" fontId="11" fillId="17" borderId="20" xfId="0" applyFont="1" applyFill="1" applyBorder="1" applyAlignment="1">
      <alignment horizontal="center" vertical="center"/>
    </xf>
    <xf numFmtId="0" fontId="11" fillId="17" borderId="21" xfId="0" applyFont="1" applyFill="1" applyBorder="1" applyAlignment="1">
      <alignment horizontal="center" vertical="center"/>
    </xf>
    <xf numFmtId="0" fontId="11" fillId="0" borderId="1" xfId="0" applyFont="1" applyFill="1" applyBorder="1" applyAlignment="1">
      <alignment vertical="center"/>
    </xf>
    <xf numFmtId="0" fontId="11" fillId="17" borderId="6" xfId="0" applyFont="1" applyFill="1" applyBorder="1">
      <alignment vertical="center"/>
    </xf>
    <xf numFmtId="0" fontId="11" fillId="6" borderId="8" xfId="0" applyFont="1" applyFill="1" applyBorder="1" applyAlignment="1">
      <alignment vertical="center"/>
    </xf>
    <xf numFmtId="0" fontId="12" fillId="18" borderId="6" xfId="0" applyFont="1" applyFill="1" applyBorder="1">
      <alignment vertical="center"/>
    </xf>
    <xf numFmtId="0" fontId="12" fillId="18" borderId="9" xfId="0" applyFont="1" applyFill="1" applyBorder="1">
      <alignment vertical="center"/>
    </xf>
    <xf numFmtId="0" fontId="12" fillId="3" borderId="3" xfId="0" applyFont="1" applyFill="1" applyBorder="1" applyAlignment="1">
      <alignment horizontal="left" vertical="center"/>
    </xf>
    <xf numFmtId="0" fontId="12" fillId="3" borderId="4" xfId="0" applyFont="1" applyFill="1" applyBorder="1">
      <alignment vertical="center"/>
    </xf>
    <xf numFmtId="0" fontId="12" fillId="3" borderId="1" xfId="0" applyFont="1" applyFill="1" applyBorder="1" applyAlignment="1">
      <alignment horizontal="left" vertical="center"/>
    </xf>
    <xf numFmtId="0" fontId="12" fillId="3" borderId="6" xfId="0" applyFont="1" applyFill="1" applyBorder="1">
      <alignment vertical="center"/>
    </xf>
    <xf numFmtId="0" fontId="12" fillId="3" borderId="8" xfId="0" applyFont="1" applyFill="1" applyBorder="1" applyAlignment="1">
      <alignment horizontal="left" vertical="center"/>
    </xf>
    <xf numFmtId="0" fontId="12" fillId="3" borderId="9" xfId="0" applyFont="1" applyFill="1" applyBorder="1">
      <alignment vertical="center"/>
    </xf>
    <xf numFmtId="0" fontId="12" fillId="3" borderId="6" xfId="0" quotePrefix="1" applyFont="1" applyFill="1" applyBorder="1" applyAlignment="1">
      <alignment horizontal="center" vertical="center"/>
    </xf>
    <xf numFmtId="0" fontId="12" fillId="18" borderId="4" xfId="0" applyFont="1" applyFill="1" applyBorder="1" applyAlignment="1">
      <alignment horizontal="center" vertical="center"/>
    </xf>
    <xf numFmtId="0" fontId="12" fillId="18" borderId="6" xfId="0" applyFont="1" applyFill="1" applyBorder="1" applyAlignment="1">
      <alignment horizontal="center" vertical="center"/>
    </xf>
    <xf numFmtId="0" fontId="12" fillId="18" borderId="6" xfId="0" quotePrefix="1" applyFont="1" applyFill="1" applyBorder="1" applyAlignment="1">
      <alignment horizontal="center" vertical="center"/>
    </xf>
    <xf numFmtId="0" fontId="0" fillId="18" borderId="4" xfId="0" applyFont="1" applyFill="1" applyBorder="1" applyAlignment="1">
      <alignment horizontal="center" vertical="center"/>
    </xf>
    <xf numFmtId="0" fontId="0" fillId="18" borderId="6" xfId="0" applyFont="1" applyFill="1" applyBorder="1" applyAlignment="1">
      <alignment horizontal="center" vertical="center"/>
    </xf>
    <xf numFmtId="0" fontId="0" fillId="18" borderId="6" xfId="0" quotePrefix="1" applyFont="1" applyFill="1" applyBorder="1" applyAlignment="1">
      <alignment horizontal="center" vertical="center"/>
    </xf>
    <xf numFmtId="0" fontId="20" fillId="18" borderId="6" xfId="0" applyFont="1" applyFill="1" applyBorder="1" applyAlignment="1">
      <alignment horizontal="center" vertical="center"/>
    </xf>
    <xf numFmtId="0" fontId="11" fillId="18" borderId="1" xfId="0" applyFont="1" applyFill="1" applyBorder="1">
      <alignment vertical="center"/>
    </xf>
    <xf numFmtId="0" fontId="11" fillId="0" borderId="0" xfId="0" applyFont="1" applyAlignment="1">
      <alignment horizontal="left" vertical="center"/>
    </xf>
    <xf numFmtId="0" fontId="0" fillId="0" borderId="0" xfId="0">
      <alignment vertical="center"/>
    </xf>
    <xf numFmtId="0" fontId="1" fillId="0" borderId="0" xfId="5"/>
    <xf numFmtId="0" fontId="45" fillId="0" borderId="34" xfId="5" applyFont="1" applyFill="1" applyBorder="1" applyAlignment="1" applyProtection="1">
      <alignment vertical="center" wrapText="1"/>
    </xf>
    <xf numFmtId="0" fontId="46" fillId="19" borderId="35" xfId="5" applyFont="1" applyFill="1" applyBorder="1" applyAlignment="1" applyProtection="1">
      <alignment horizontal="center" vertical="center"/>
    </xf>
    <xf numFmtId="0" fontId="46" fillId="19" borderId="35" xfId="5" applyFont="1" applyFill="1" applyBorder="1" applyAlignment="1" applyProtection="1">
      <alignment horizontal="center" vertical="center" wrapText="1"/>
    </xf>
    <xf numFmtId="0" fontId="45" fillId="0" borderId="34" xfId="5" applyFont="1" applyFill="1" applyBorder="1" applyAlignment="1" applyProtection="1">
      <alignment horizontal="right" vertical="center" wrapText="1"/>
    </xf>
    <xf numFmtId="0" fontId="0" fillId="0" borderId="35" xfId="0" applyBorder="1" applyAlignment="1">
      <alignment vertical="center" wrapText="1"/>
    </xf>
    <xf numFmtId="0" fontId="0" fillId="0" borderId="35" xfId="0" applyBorder="1">
      <alignment vertical="center"/>
    </xf>
    <xf numFmtId="0" fontId="8" fillId="0" borderId="14" xfId="0" applyFont="1" applyBorder="1" applyAlignment="1">
      <alignment horizontal="left" vertical="center"/>
    </xf>
    <xf numFmtId="0" fontId="8" fillId="0" borderId="15" xfId="0" applyFont="1" applyBorder="1" applyAlignment="1">
      <alignment horizontal="left" vertical="center"/>
    </xf>
    <xf numFmtId="0" fontId="8" fillId="0" borderId="1" xfId="0" applyFont="1" applyBorder="1" applyAlignment="1">
      <alignment horizontal="left" vertical="center"/>
    </xf>
    <xf numFmtId="0" fontId="8" fillId="0" borderId="13" xfId="0" applyFont="1" applyBorder="1" applyAlignment="1">
      <alignment horizontal="left" vertical="center"/>
    </xf>
    <xf numFmtId="0" fontId="11" fillId="0" borderId="1" xfId="0" applyFont="1" applyBorder="1" applyAlignment="1">
      <alignment horizontal="left" vertical="center"/>
    </xf>
    <xf numFmtId="0" fontId="11" fillId="0" borderId="1" xfId="0" applyFont="1" applyBorder="1">
      <alignment vertical="center"/>
    </xf>
    <xf numFmtId="0" fontId="0" fillId="0" borderId="1" xfId="0" applyFont="1" applyBorder="1">
      <alignment vertical="center"/>
    </xf>
    <xf numFmtId="0" fontId="0"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lignment vertical="center"/>
    </xf>
    <xf numFmtId="0" fontId="19" fillId="0" borderId="1" xfId="0" applyFont="1" applyBorder="1" applyAlignment="1">
      <alignment horizontal="left" vertical="center"/>
    </xf>
    <xf numFmtId="0" fontId="19" fillId="0" borderId="1" xfId="0" applyFont="1" applyBorder="1">
      <alignment vertical="center"/>
    </xf>
    <xf numFmtId="0" fontId="8" fillId="0" borderId="18" xfId="0" applyFont="1" applyBorder="1" applyAlignment="1">
      <alignment horizontal="left" vertical="center"/>
    </xf>
    <xf numFmtId="0" fontId="8" fillId="0" borderId="19" xfId="0" applyFont="1" applyBorder="1" applyAlignment="1">
      <alignment horizontal="left" vertical="center"/>
    </xf>
    <xf numFmtId="0" fontId="8" fillId="0" borderId="20" xfId="0" applyFont="1" applyBorder="1" applyAlignment="1">
      <alignment horizontal="left" vertical="center"/>
    </xf>
    <xf numFmtId="0" fontId="21" fillId="0" borderId="1" xfId="0" applyFont="1" applyBorder="1" applyAlignment="1">
      <alignment horizontal="left" vertical="center"/>
    </xf>
    <xf numFmtId="0" fontId="22" fillId="0" borderId="1" xfId="0" applyFont="1" applyBorder="1">
      <alignment vertical="center"/>
    </xf>
    <xf numFmtId="0" fontId="8" fillId="0" borderId="18" xfId="0" applyFont="1" applyBorder="1" applyAlignment="1">
      <alignment horizontal="left" vertical="center" wrapText="1"/>
    </xf>
    <xf numFmtId="0" fontId="8" fillId="0" borderId="19" xfId="0" applyFont="1" applyBorder="1" applyAlignment="1">
      <alignment horizontal="left" vertical="center" wrapText="1"/>
    </xf>
    <xf numFmtId="0" fontId="8" fillId="0" borderId="20" xfId="0" applyFont="1" applyBorder="1" applyAlignment="1">
      <alignment horizontal="left" vertical="center" wrapText="1"/>
    </xf>
    <xf numFmtId="0" fontId="11" fillId="17" borderId="1" xfId="0" applyFont="1" applyFill="1" applyBorder="1" applyAlignment="1">
      <alignment horizontal="center" vertical="center"/>
    </xf>
    <xf numFmtId="0" fontId="15" fillId="2" borderId="13" xfId="1" applyFont="1" applyBorder="1" applyAlignment="1">
      <alignment horizontal="center" vertical="center"/>
    </xf>
    <xf numFmtId="0" fontId="15" fillId="2" borderId="14" xfId="1" applyFont="1" applyBorder="1" applyAlignment="1">
      <alignment horizontal="center" vertical="center"/>
    </xf>
    <xf numFmtId="0" fontId="15" fillId="2" borderId="33" xfId="1" applyFont="1" applyBorder="1" applyAlignment="1">
      <alignment horizontal="center" vertical="center"/>
    </xf>
    <xf numFmtId="0" fontId="11" fillId="6" borderId="1" xfId="0" applyFont="1" applyFill="1" applyBorder="1" applyAlignment="1">
      <alignment vertical="center"/>
    </xf>
    <xf numFmtId="0" fontId="11" fillId="0" borderId="1" xfId="0" applyFont="1" applyBorder="1" applyAlignment="1">
      <alignment vertical="center"/>
    </xf>
    <xf numFmtId="0" fontId="11" fillId="0" borderId="8" xfId="0" applyFont="1" applyBorder="1" applyAlignment="1">
      <alignment horizontal="left" vertical="center"/>
    </xf>
    <xf numFmtId="0" fontId="11" fillId="0" borderId="8" xfId="0" applyFont="1" applyBorder="1" applyAlignment="1">
      <alignment vertical="center"/>
    </xf>
    <xf numFmtId="0" fontId="11" fillId="0" borderId="3" xfId="0" applyFont="1" applyBorder="1" applyAlignment="1">
      <alignment horizontal="left" vertical="center"/>
    </xf>
    <xf numFmtId="0" fontId="11" fillId="0" borderId="2" xfId="0" applyFont="1" applyBorder="1" applyAlignment="1">
      <alignment horizontal="left" vertical="center"/>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1" fillId="0" borderId="2" xfId="0" applyFont="1" applyBorder="1" applyAlignment="1">
      <alignment vertical="center"/>
    </xf>
    <xf numFmtId="0" fontId="11" fillId="0" borderId="5" xfId="0" applyFont="1" applyBorder="1" applyAlignment="1">
      <alignment vertical="center"/>
    </xf>
    <xf numFmtId="0" fontId="11" fillId="0" borderId="7" xfId="0" applyFont="1" applyBorder="1" applyAlignment="1">
      <alignment vertical="center"/>
    </xf>
    <xf numFmtId="0" fontId="11" fillId="0" borderId="20" xfId="0" applyFont="1" applyBorder="1" applyAlignment="1">
      <alignment vertical="center"/>
    </xf>
    <xf numFmtId="0" fontId="11" fillId="0" borderId="0" xfId="0" applyFont="1" applyAlignment="1">
      <alignment horizontal="left" vertical="center"/>
    </xf>
    <xf numFmtId="0" fontId="11" fillId="0" borderId="5" xfId="0" applyFont="1" applyBorder="1">
      <alignment vertical="center"/>
    </xf>
    <xf numFmtId="0" fontId="11" fillId="0" borderId="7" xfId="0" applyFont="1" applyBorder="1">
      <alignment vertical="center"/>
    </xf>
    <xf numFmtId="0" fontId="11" fillId="17" borderId="0" xfId="0" applyFont="1" applyFill="1" applyAlignment="1">
      <alignment horizontal="left" vertical="center"/>
    </xf>
    <xf numFmtId="0" fontId="11" fillId="17" borderId="0" xfId="0" applyFont="1" applyFill="1">
      <alignment vertical="center"/>
    </xf>
    <xf numFmtId="0" fontId="11" fillId="0" borderId="1" xfId="0" applyFont="1" applyBorder="1" applyAlignment="1">
      <alignment horizontal="center" vertical="center"/>
    </xf>
    <xf numFmtId="0" fontId="11" fillId="0" borderId="8" xfId="0" applyFont="1" applyBorder="1" applyAlignment="1">
      <alignment horizontal="center" vertical="center"/>
    </xf>
    <xf numFmtId="0" fontId="11" fillId="0" borderId="8" xfId="0" applyFont="1" applyBorder="1">
      <alignment vertical="center"/>
    </xf>
    <xf numFmtId="0" fontId="19" fillId="0" borderId="8" xfId="0" applyFont="1" applyBorder="1">
      <alignment vertical="center"/>
    </xf>
    <xf numFmtId="0" fontId="19" fillId="0" borderId="8" xfId="0" applyFont="1" applyBorder="1" applyAlignment="1">
      <alignment horizontal="left" vertical="center"/>
    </xf>
    <xf numFmtId="0" fontId="11" fillId="0" borderId="2" xfId="0" applyFont="1" applyBorder="1" applyAlignment="1">
      <alignment horizontal="left" vertical="center" wrapText="1"/>
    </xf>
    <xf numFmtId="0" fontId="11" fillId="0" borderId="13" xfId="0" applyFont="1" applyBorder="1" applyAlignment="1">
      <alignment horizontal="left" vertical="center"/>
    </xf>
    <xf numFmtId="0" fontId="11" fillId="0" borderId="15" xfId="0" applyFont="1" applyBorder="1" applyAlignment="1">
      <alignment horizontal="left" vertical="center"/>
    </xf>
    <xf numFmtId="0" fontId="11" fillId="0" borderId="16" xfId="0" applyFont="1" applyBorder="1" applyAlignment="1">
      <alignment horizontal="left" vertical="center"/>
    </xf>
    <xf numFmtId="0" fontId="11" fillId="0" borderId="17" xfId="0" applyFont="1" applyBorder="1" applyAlignment="1">
      <alignment horizontal="left" vertical="center"/>
    </xf>
    <xf numFmtId="0" fontId="11" fillId="0" borderId="10" xfId="0" applyFont="1" applyBorder="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11" fillId="0" borderId="16" xfId="0" applyFont="1" applyBorder="1" applyAlignment="1">
      <alignment horizontal="center" vertical="center"/>
    </xf>
    <xf numFmtId="0" fontId="11" fillId="0" borderId="17" xfId="0" applyFont="1" applyBorder="1" applyAlignment="1">
      <alignment horizontal="center" vertical="center"/>
    </xf>
    <xf numFmtId="0" fontId="11" fillId="0" borderId="10" xfId="0" applyFont="1" applyBorder="1" applyAlignment="1">
      <alignment horizontal="left" vertical="center"/>
    </xf>
    <xf numFmtId="0" fontId="11" fillId="0" borderId="11" xfId="0" applyFont="1" applyBorder="1" applyAlignment="1">
      <alignment horizontal="left" vertical="center"/>
    </xf>
    <xf numFmtId="0" fontId="11" fillId="0" borderId="12" xfId="0" applyFont="1" applyBorder="1" applyAlignment="1">
      <alignment horizontal="left" vertical="center"/>
    </xf>
    <xf numFmtId="0" fontId="11" fillId="0" borderId="14" xfId="0" applyFont="1" applyBorder="1" applyAlignment="1">
      <alignment horizontal="left" vertical="center"/>
    </xf>
    <xf numFmtId="0" fontId="11" fillId="0" borderId="22" xfId="0" applyFont="1" applyBorder="1" applyAlignment="1">
      <alignment horizontal="left" vertical="center"/>
    </xf>
    <xf numFmtId="0" fontId="12" fillId="0" borderId="8" xfId="0" applyFont="1" applyBorder="1" applyAlignment="1">
      <alignment horizontal="left" vertical="center"/>
    </xf>
    <xf numFmtId="0" fontId="2" fillId="0" borderId="2" xfId="0" applyFont="1" applyBorder="1" applyAlignment="1">
      <alignment horizontal="left" vertical="center"/>
    </xf>
    <xf numFmtId="0" fontId="2" fillId="0" borderId="5" xfId="0" applyFont="1" applyBorder="1">
      <alignment vertical="center"/>
    </xf>
    <xf numFmtId="0" fontId="2" fillId="0" borderId="7" xfId="0" applyFont="1" applyBorder="1">
      <alignment vertical="center"/>
    </xf>
    <xf numFmtId="0" fontId="12" fillId="0" borderId="1" xfId="0" applyFont="1" applyBorder="1" applyAlignment="1">
      <alignment horizontal="left" vertical="center"/>
    </xf>
    <xf numFmtId="0" fontId="12" fillId="0" borderId="2" xfId="0" applyFont="1" applyBorder="1" applyAlignment="1">
      <alignment horizontal="left" vertical="center"/>
    </xf>
    <xf numFmtId="0" fontId="12" fillId="0" borderId="5" xfId="0" applyFont="1" applyBorder="1">
      <alignment vertical="center"/>
    </xf>
    <xf numFmtId="0" fontId="12" fillId="0" borderId="7" xfId="0" applyFont="1" applyBorder="1">
      <alignment vertical="center"/>
    </xf>
    <xf numFmtId="0" fontId="12" fillId="0" borderId="3" xfId="0" applyFont="1" applyBorder="1" applyAlignment="1">
      <alignment horizontal="left" vertical="center"/>
    </xf>
    <xf numFmtId="0" fontId="12" fillId="0" borderId="5" xfId="0" applyFont="1" applyBorder="1" applyAlignment="1">
      <alignment horizontal="left" vertical="center"/>
    </xf>
    <xf numFmtId="0" fontId="12" fillId="0" borderId="7" xfId="0" applyFont="1" applyBorder="1" applyAlignment="1">
      <alignment horizontal="left" vertical="center"/>
    </xf>
    <xf numFmtId="0" fontId="12" fillId="0" borderId="1" xfId="0" applyFont="1" applyBorder="1">
      <alignment vertical="center"/>
    </xf>
    <xf numFmtId="0" fontId="12" fillId="3" borderId="2" xfId="0" applyFont="1" applyFill="1" applyBorder="1" applyAlignment="1">
      <alignment horizontal="left" vertical="center" wrapText="1"/>
    </xf>
    <xf numFmtId="0" fontId="12" fillId="3" borderId="5" xfId="0" applyFont="1" applyFill="1" applyBorder="1">
      <alignment vertical="center"/>
    </xf>
    <xf numFmtId="0" fontId="12" fillId="3" borderId="7" xfId="0" applyFont="1" applyFill="1" applyBorder="1">
      <alignment vertical="center"/>
    </xf>
    <xf numFmtId="0" fontId="12" fillId="0" borderId="28" xfId="0" applyFont="1" applyBorder="1" applyAlignment="1">
      <alignment horizontal="left" vertical="center"/>
    </xf>
    <xf numFmtId="0" fontId="12" fillId="0" borderId="27" xfId="0" applyFont="1" applyBorder="1" applyAlignment="1">
      <alignment horizontal="left" vertical="center"/>
    </xf>
    <xf numFmtId="0" fontId="12" fillId="0" borderId="29" xfId="0" applyFont="1" applyBorder="1" applyAlignment="1">
      <alignment horizontal="left" vertical="center"/>
    </xf>
    <xf numFmtId="0" fontId="12" fillId="0" borderId="13" xfId="0" applyFont="1" applyBorder="1" applyAlignment="1">
      <alignment horizontal="left" vertical="center"/>
    </xf>
    <xf numFmtId="0" fontId="12" fillId="0" borderId="15" xfId="0" applyFont="1" applyBorder="1" applyAlignment="1">
      <alignment horizontal="left" vertical="center"/>
    </xf>
    <xf numFmtId="0" fontId="12" fillId="0" borderId="1" xfId="0" applyFont="1" applyFill="1" applyBorder="1" applyAlignment="1">
      <alignment horizontal="left" vertical="center"/>
    </xf>
    <xf numFmtId="0" fontId="12" fillId="0" borderId="1" xfId="0" applyFont="1" applyFill="1" applyBorder="1">
      <alignment vertical="center"/>
    </xf>
    <xf numFmtId="0" fontId="12" fillId="0" borderId="18" xfId="0" applyFont="1" applyBorder="1" applyAlignment="1">
      <alignment horizontal="left" vertical="center" wrapText="1"/>
    </xf>
    <xf numFmtId="0" fontId="12" fillId="0" borderId="19" xfId="0" applyFont="1" applyBorder="1" applyAlignment="1">
      <alignment horizontal="left" vertical="center"/>
    </xf>
    <xf numFmtId="0" fontId="12" fillId="0" borderId="20" xfId="0" applyFont="1" applyBorder="1" applyAlignment="1">
      <alignment horizontal="left" vertical="center"/>
    </xf>
    <xf numFmtId="0" fontId="12" fillId="0" borderId="1" xfId="0" applyFont="1" applyBorder="1" applyAlignment="1">
      <alignment horizontal="left" vertical="center" wrapText="1"/>
    </xf>
    <xf numFmtId="0" fontId="3" fillId="14" borderId="13" xfId="3" applyFill="1" applyBorder="1" applyAlignment="1">
      <alignment horizontal="center"/>
    </xf>
    <xf numFmtId="0" fontId="3" fillId="14" borderId="14" xfId="3" applyFill="1" applyBorder="1" applyAlignment="1">
      <alignment horizontal="center"/>
    </xf>
    <xf numFmtId="0" fontId="3" fillId="14" borderId="15" xfId="3" applyFill="1" applyBorder="1" applyAlignment="1">
      <alignment horizontal="center"/>
    </xf>
    <xf numFmtId="0" fontId="22" fillId="12" borderId="13" xfId="3" applyFont="1" applyFill="1" applyBorder="1" applyAlignment="1" applyProtection="1">
      <alignment horizontal="center"/>
      <protection locked="0"/>
    </xf>
    <xf numFmtId="0" fontId="22" fillId="12" borderId="14" xfId="3" applyFont="1" applyFill="1" applyBorder="1" applyAlignment="1" applyProtection="1">
      <alignment horizontal="center"/>
      <protection locked="0"/>
    </xf>
    <xf numFmtId="0" fontId="22" fillId="12" borderId="15" xfId="3" applyFont="1" applyFill="1" applyBorder="1" applyAlignment="1" applyProtection="1">
      <alignment horizontal="center"/>
      <protection locked="0"/>
    </xf>
    <xf numFmtId="0" fontId="3" fillId="13" borderId="13" xfId="3" applyFill="1" applyBorder="1" applyAlignment="1">
      <alignment horizontal="center"/>
    </xf>
    <xf numFmtId="0" fontId="3" fillId="13" borderId="14" xfId="3" applyFill="1" applyBorder="1" applyAlignment="1">
      <alignment horizontal="center"/>
    </xf>
    <xf numFmtId="0" fontId="3" fillId="13" borderId="15" xfId="3" applyFill="1" applyBorder="1" applyAlignment="1">
      <alignment horizontal="center"/>
    </xf>
    <xf numFmtId="0" fontId="22" fillId="10" borderId="13" xfId="3" applyFont="1" applyFill="1" applyBorder="1" applyAlignment="1" applyProtection="1">
      <alignment horizontal="center"/>
      <protection locked="0"/>
    </xf>
    <xf numFmtId="0" fontId="22" fillId="10" borderId="14" xfId="3" applyFont="1" applyFill="1" applyBorder="1" applyAlignment="1" applyProtection="1">
      <alignment horizontal="center"/>
      <protection locked="0"/>
    </xf>
    <xf numFmtId="0" fontId="22" fillId="10" borderId="15" xfId="3" applyFont="1" applyFill="1" applyBorder="1" applyAlignment="1" applyProtection="1">
      <alignment horizontal="center"/>
      <protection locked="0"/>
    </xf>
    <xf numFmtId="0" fontId="2" fillId="8" borderId="1" xfId="4" applyFill="1" applyBorder="1" applyAlignment="1">
      <alignment horizontal="center"/>
    </xf>
    <xf numFmtId="0" fontId="33" fillId="8" borderId="1" xfId="4" applyFont="1" applyFill="1" applyBorder="1" applyAlignment="1">
      <alignment horizontal="center"/>
    </xf>
    <xf numFmtId="0" fontId="2" fillId="18" borderId="13" xfId="4" applyFill="1" applyBorder="1" applyAlignment="1">
      <alignment horizontal="center"/>
    </xf>
    <xf numFmtId="0" fontId="2" fillId="18" borderId="14" xfId="4" applyFill="1" applyBorder="1" applyAlignment="1">
      <alignment horizontal="center"/>
    </xf>
    <xf numFmtId="0" fontId="2" fillId="18" borderId="15" xfId="4" applyFill="1" applyBorder="1" applyAlignment="1">
      <alignment horizontal="center"/>
    </xf>
    <xf numFmtId="0" fontId="2" fillId="17" borderId="13" xfId="4" applyFill="1" applyBorder="1" applyAlignment="1">
      <alignment horizontal="center"/>
    </xf>
    <xf numFmtId="0" fontId="2" fillId="17" borderId="14" xfId="4" applyFill="1" applyBorder="1" applyAlignment="1">
      <alignment horizontal="center"/>
    </xf>
    <xf numFmtId="0" fontId="2" fillId="17" borderId="15" xfId="4" applyFill="1" applyBorder="1" applyAlignment="1">
      <alignment horizontal="center"/>
    </xf>
    <xf numFmtId="0" fontId="2" fillId="16" borderId="13" xfId="4" applyFill="1" applyBorder="1" applyAlignment="1">
      <alignment horizontal="center"/>
    </xf>
    <xf numFmtId="0" fontId="2" fillId="16" borderId="14" xfId="4" applyFill="1" applyBorder="1" applyAlignment="1">
      <alignment horizontal="center"/>
    </xf>
    <xf numFmtId="0" fontId="2" fillId="16" borderId="15" xfId="4" applyFill="1" applyBorder="1" applyAlignment="1">
      <alignment horizontal="center"/>
    </xf>
    <xf numFmtId="0" fontId="32" fillId="0" borderId="1" xfId="4" applyFont="1" applyBorder="1" applyAlignment="1">
      <alignment horizontal="center" vertical="center"/>
    </xf>
    <xf numFmtId="0" fontId="33" fillId="18" borderId="13" xfId="4" applyFont="1" applyFill="1" applyBorder="1" applyAlignment="1">
      <alignment horizontal="center"/>
    </xf>
    <xf numFmtId="0" fontId="33" fillId="18" borderId="14" xfId="4" applyFont="1" applyFill="1" applyBorder="1" applyAlignment="1">
      <alignment horizontal="center"/>
    </xf>
    <xf numFmtId="0" fontId="33" fillId="18" borderId="15" xfId="4" applyFont="1" applyFill="1" applyBorder="1" applyAlignment="1">
      <alignment horizontal="center"/>
    </xf>
    <xf numFmtId="0" fontId="33" fillId="16" borderId="13" xfId="4" applyFont="1" applyFill="1" applyBorder="1" applyAlignment="1">
      <alignment horizontal="center"/>
    </xf>
    <xf numFmtId="0" fontId="33" fillId="16" borderId="14" xfId="4" applyFont="1" applyFill="1" applyBorder="1" applyAlignment="1">
      <alignment horizontal="center"/>
    </xf>
    <xf numFmtId="0" fontId="33" fillId="16" borderId="15" xfId="4" applyFont="1" applyFill="1" applyBorder="1" applyAlignment="1">
      <alignment horizontal="center"/>
    </xf>
    <xf numFmtId="0" fontId="35" fillId="0" borderId="0" xfId="4" applyFont="1" applyAlignment="1">
      <alignment horizontal="right"/>
    </xf>
    <xf numFmtId="0" fontId="2" fillId="8" borderId="13" xfId="4" applyFill="1" applyBorder="1" applyAlignment="1">
      <alignment horizontal="center"/>
    </xf>
    <xf numFmtId="0" fontId="2" fillId="8" borderId="14" xfId="4" applyFill="1" applyBorder="1" applyAlignment="1">
      <alignment horizontal="center"/>
    </xf>
    <xf numFmtId="0" fontId="8" fillId="0" borderId="0" xfId="0" applyFont="1" applyAlignment="1">
      <alignment horizontal="left" vertical="center"/>
    </xf>
    <xf numFmtId="0" fontId="0" fillId="0" borderId="0" xfId="0" applyFont="1">
      <alignment vertical="center"/>
    </xf>
    <xf numFmtId="0" fontId="21" fillId="0" borderId="2" xfId="0" applyFont="1" applyBorder="1" applyAlignment="1">
      <alignment horizontal="left" vertical="center"/>
    </xf>
    <xf numFmtId="0" fontId="22" fillId="0" borderId="5" xfId="0" applyFont="1" applyBorder="1">
      <alignment vertical="center"/>
    </xf>
    <xf numFmtId="0" fontId="22" fillId="0" borderId="7" xfId="0" applyFont="1" applyBorder="1">
      <alignment vertical="center"/>
    </xf>
    <xf numFmtId="0" fontId="8" fillId="7" borderId="1" xfId="0" applyFont="1" applyFill="1" applyBorder="1" applyAlignment="1">
      <alignment horizontal="left" vertical="center"/>
    </xf>
    <xf numFmtId="0" fontId="0" fillId="7" borderId="1" xfId="0" applyFont="1" applyFill="1" applyBorder="1">
      <alignment vertical="center"/>
    </xf>
    <xf numFmtId="0" fontId="0" fillId="0" borderId="8" xfId="0" applyFont="1" applyBorder="1">
      <alignment vertical="center"/>
    </xf>
    <xf numFmtId="0" fontId="8" fillId="3" borderId="1" xfId="0" applyFont="1" applyFill="1" applyBorder="1" applyAlignment="1">
      <alignment horizontal="left" vertical="center"/>
    </xf>
    <xf numFmtId="0" fontId="8" fillId="0" borderId="3" xfId="0" applyFont="1" applyBorder="1" applyAlignment="1">
      <alignment horizontal="left" vertical="center"/>
    </xf>
    <xf numFmtId="0" fontId="8" fillId="0" borderId="16" xfId="0" applyFont="1" applyBorder="1" applyAlignment="1">
      <alignment vertical="center"/>
    </xf>
    <xf numFmtId="0" fontId="8" fillId="0" borderId="22" xfId="0" applyFont="1" applyBorder="1" applyAlignment="1">
      <alignment vertical="center"/>
    </xf>
    <xf numFmtId="0" fontId="8" fillId="0" borderId="17" xfId="0" applyFont="1" applyBorder="1" applyAlignment="1">
      <alignment vertical="center"/>
    </xf>
    <xf numFmtId="0" fontId="8" fillId="0" borderId="13" xfId="0" applyFont="1" applyBorder="1" applyAlignment="1">
      <alignment vertical="center"/>
    </xf>
    <xf numFmtId="0" fontId="8" fillId="0" borderId="14" xfId="0" applyFont="1" applyBorder="1" applyAlignment="1">
      <alignment vertical="center"/>
    </xf>
    <xf numFmtId="0" fontId="8" fillId="0" borderId="15" xfId="0" applyFont="1" applyBorder="1" applyAlignment="1">
      <alignment vertical="center"/>
    </xf>
    <xf numFmtId="0" fontId="8" fillId="0" borderId="2" xfId="0" applyFont="1" applyBorder="1" applyAlignment="1">
      <alignment horizontal="left" vertical="center"/>
    </xf>
    <xf numFmtId="0" fontId="0" fillId="0" borderId="5" xfId="0" applyFont="1" applyBorder="1">
      <alignment vertical="center"/>
    </xf>
    <xf numFmtId="0" fontId="0" fillId="0" borderId="7" xfId="0" applyFont="1" applyBorder="1">
      <alignment vertical="center"/>
    </xf>
    <xf numFmtId="0" fontId="8" fillId="0" borderId="1" xfId="0" applyFont="1" applyBorder="1" applyAlignment="1">
      <alignment vertical="center"/>
    </xf>
    <xf numFmtId="0" fontId="0" fillId="0" borderId="1" xfId="0" applyFont="1" applyBorder="1" applyAlignment="1">
      <alignment vertical="center"/>
    </xf>
    <xf numFmtId="0" fontId="8" fillId="0" borderId="10" xfId="0" applyFont="1" applyBorder="1" applyAlignment="1">
      <alignment vertical="center"/>
    </xf>
    <xf numFmtId="0" fontId="8" fillId="0" borderId="11" xfId="0" applyFont="1" applyBorder="1" applyAlignment="1">
      <alignment vertical="center"/>
    </xf>
    <xf numFmtId="0" fontId="8" fillId="0" borderId="12" xfId="0" applyFont="1" applyBorder="1" applyAlignment="1">
      <alignment vertical="center"/>
    </xf>
    <xf numFmtId="0" fontId="4" fillId="0" borderId="2" xfId="0" applyFont="1" applyBorder="1" applyAlignment="1">
      <alignment horizontal="left" vertical="center"/>
    </xf>
    <xf numFmtId="0" fontId="4" fillId="0" borderId="5" xfId="0" applyFont="1" applyBorder="1" applyAlignment="1">
      <alignment horizontal="left" vertical="center"/>
    </xf>
    <xf numFmtId="0" fontId="4" fillId="0" borderId="7" xfId="0" applyFont="1" applyBorder="1" applyAlignment="1">
      <alignment horizontal="left" vertical="center"/>
    </xf>
    <xf numFmtId="0" fontId="4" fillId="0" borderId="0" xfId="0" applyFont="1" applyAlignment="1">
      <alignment horizontal="left" vertical="center"/>
    </xf>
    <xf numFmtId="0" fontId="0" fillId="0" borderId="0" xfId="0">
      <alignment vertical="center"/>
    </xf>
  </cellXfs>
  <cellStyles count="6">
    <cellStyle name="Bad" xfId="1" builtinId="27"/>
    <cellStyle name="Neutral" xfId="2" builtinId="28"/>
    <cellStyle name="Normal" xfId="0" builtinId="0"/>
    <cellStyle name="Normal 2" xfId="3"/>
    <cellStyle name="Normal 3" xfId="4"/>
    <cellStyle name="Normal 4"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gif"/></Relationships>
</file>

<file path=xl/drawings/drawing1.xml><?xml version="1.0" encoding="utf-8"?>
<xdr:wsDr xmlns:xdr="http://schemas.openxmlformats.org/drawingml/2006/spreadsheetDrawing" xmlns:a="http://schemas.openxmlformats.org/drawingml/2006/main">
  <xdr:twoCellAnchor editAs="oneCell">
    <xdr:from>
      <xdr:col>2</xdr:col>
      <xdr:colOff>1971675</xdr:colOff>
      <xdr:row>3</xdr:row>
      <xdr:rowOff>123825</xdr:rowOff>
    </xdr:from>
    <xdr:to>
      <xdr:col>5</xdr:col>
      <xdr:colOff>2409149</xdr:colOff>
      <xdr:row>41</xdr:row>
      <xdr:rowOff>313512</xdr:rowOff>
    </xdr:to>
    <xdr:pic>
      <xdr:nvPicPr>
        <xdr:cNvPr id="2" name="Picture 1"/>
        <xdr:cNvPicPr>
          <a:picLocks noChangeAspect="1"/>
        </xdr:cNvPicPr>
      </xdr:nvPicPr>
      <xdr:blipFill>
        <a:blip xmlns:r="http://schemas.openxmlformats.org/officeDocument/2006/relationships" r:embed="rId1"/>
        <a:stretch>
          <a:fillRect/>
        </a:stretch>
      </xdr:blipFill>
      <xdr:spPr>
        <a:xfrm>
          <a:off x="6810375" y="609600"/>
          <a:ext cx="5409524" cy="6504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23</xdr:col>
      <xdr:colOff>588819</xdr:colOff>
      <xdr:row>1</xdr:row>
      <xdr:rowOff>138545</xdr:rowOff>
    </xdr:from>
    <xdr:ext cx="4547755" cy="3381664"/>
    <xdr:pic>
      <xdr:nvPicPr>
        <xdr:cNvPr id="2" name="Picture 1"/>
        <xdr:cNvPicPr>
          <a:picLocks noChangeAspect="1"/>
        </xdr:cNvPicPr>
      </xdr:nvPicPr>
      <xdr:blipFill>
        <a:blip xmlns:r="http://schemas.openxmlformats.org/officeDocument/2006/relationships" r:embed="rId1"/>
        <a:stretch>
          <a:fillRect/>
        </a:stretch>
      </xdr:blipFill>
      <xdr:spPr>
        <a:xfrm>
          <a:off x="14609619" y="329045"/>
          <a:ext cx="4547755" cy="3381664"/>
        </a:xfrm>
        <a:prstGeom prst="rect">
          <a:avLst/>
        </a:prstGeom>
      </xdr:spPr>
    </xdr:pic>
    <xdr:clientData/>
  </xdr:oneCellAnchor>
  <xdr:oneCellAnchor>
    <xdr:from>
      <xdr:col>31</xdr:col>
      <xdr:colOff>315575</xdr:colOff>
      <xdr:row>2</xdr:row>
      <xdr:rowOff>39127</xdr:rowOff>
    </xdr:from>
    <xdr:ext cx="4731905" cy="2259382"/>
    <xdr:pic>
      <xdr:nvPicPr>
        <xdr:cNvPr id="3" name="Picture 2"/>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9213175" y="420127"/>
          <a:ext cx="4731905" cy="2259382"/>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G226"/>
  <sheetViews>
    <sheetView workbookViewId="0">
      <selection activeCell="A6" sqref="A6:B9"/>
    </sheetView>
  </sheetViews>
  <sheetFormatPr defaultColWidth="9.140625" defaultRowHeight="12.75" x14ac:dyDescent="0.2"/>
  <cols>
    <col min="1" max="1" width="44.7109375" style="86" customWidth="1"/>
    <col min="2" max="2" width="40.7109375" style="86" customWidth="1"/>
    <col min="3" max="3" width="32.42578125" style="86" bestFit="1" customWidth="1"/>
    <col min="4" max="4" width="20.28515625" style="86" bestFit="1" customWidth="1"/>
    <col min="5" max="5" width="21.85546875" style="3" bestFit="1" customWidth="1"/>
    <col min="6" max="6" width="37.7109375" style="4" customWidth="1"/>
    <col min="7" max="16384" width="9.140625" style="3"/>
  </cols>
  <sheetData>
    <row r="4" spans="1:6" x14ac:dyDescent="0.2">
      <c r="A4" s="77" t="s">
        <v>260</v>
      </c>
      <c r="B4" s="77" t="s">
        <v>261</v>
      </c>
    </row>
    <row r="5" spans="1:6" s="17" customFormat="1" x14ac:dyDescent="0.2">
      <c r="A5" s="77"/>
      <c r="B5" s="77"/>
      <c r="C5" s="86"/>
      <c r="D5" s="86"/>
      <c r="F5" s="4"/>
    </row>
    <row r="6" spans="1:6" x14ac:dyDescent="0.2">
      <c r="A6" s="100" t="s">
        <v>411</v>
      </c>
      <c r="B6" s="78" t="s">
        <v>981</v>
      </c>
    </row>
    <row r="7" spans="1:6" x14ac:dyDescent="0.2">
      <c r="A7" s="100" t="s">
        <v>412</v>
      </c>
      <c r="B7" s="78" t="s">
        <v>982</v>
      </c>
    </row>
    <row r="8" spans="1:6" x14ac:dyDescent="0.2">
      <c r="A8" s="100" t="s">
        <v>413</v>
      </c>
      <c r="B8" s="78" t="s">
        <v>983</v>
      </c>
    </row>
    <row r="9" spans="1:6" x14ac:dyDescent="0.2">
      <c r="A9" s="100" t="s">
        <v>414</v>
      </c>
      <c r="B9" s="78" t="s">
        <v>258</v>
      </c>
    </row>
    <row r="11" spans="1:6" s="17" customFormat="1" x14ac:dyDescent="0.2">
      <c r="A11" s="86"/>
      <c r="B11" s="86"/>
      <c r="C11" s="86"/>
      <c r="D11" s="86"/>
      <c r="F11" s="4"/>
    </row>
    <row r="12" spans="1:6" x14ac:dyDescent="0.2">
      <c r="A12" s="77" t="s">
        <v>123</v>
      </c>
      <c r="B12" s="77" t="s">
        <v>261</v>
      </c>
    </row>
    <row r="14" spans="1:6" x14ac:dyDescent="0.2">
      <c r="A14" s="86" t="s">
        <v>262</v>
      </c>
      <c r="B14" s="78" t="s">
        <v>984</v>
      </c>
    </row>
    <row r="15" spans="1:6" x14ac:dyDescent="0.2">
      <c r="A15" s="86" t="s">
        <v>263</v>
      </c>
      <c r="B15" s="78" t="s">
        <v>984</v>
      </c>
    </row>
    <row r="16" spans="1:6" x14ac:dyDescent="0.2">
      <c r="A16" s="86" t="s">
        <v>257</v>
      </c>
      <c r="B16" s="78" t="s">
        <v>984</v>
      </c>
    </row>
    <row r="17" spans="1:6" x14ac:dyDescent="0.2">
      <c r="A17" s="86" t="s">
        <v>259</v>
      </c>
      <c r="B17" s="78" t="s">
        <v>984</v>
      </c>
    </row>
    <row r="18" spans="1:6" x14ac:dyDescent="0.2">
      <c r="A18" s="86" t="s">
        <v>258</v>
      </c>
      <c r="B18" s="78" t="s">
        <v>984</v>
      </c>
    </row>
    <row r="21" spans="1:6" x14ac:dyDescent="0.2">
      <c r="A21" s="77" t="s">
        <v>154</v>
      </c>
      <c r="B21" s="77" t="s">
        <v>261</v>
      </c>
    </row>
    <row r="23" spans="1:6" x14ac:dyDescent="0.2">
      <c r="A23" s="86" t="s">
        <v>264</v>
      </c>
      <c r="B23" s="78" t="s">
        <v>984</v>
      </c>
    </row>
    <row r="24" spans="1:6" x14ac:dyDescent="0.2">
      <c r="A24" s="86" t="s">
        <v>265</v>
      </c>
      <c r="B24" s="78" t="s">
        <v>984</v>
      </c>
    </row>
    <row r="25" spans="1:6" x14ac:dyDescent="0.2">
      <c r="A25" s="86" t="s">
        <v>267</v>
      </c>
      <c r="B25" s="78" t="s">
        <v>984</v>
      </c>
    </row>
    <row r="26" spans="1:6" x14ac:dyDescent="0.2">
      <c r="A26" s="86" t="s">
        <v>266</v>
      </c>
      <c r="B26" s="78" t="s">
        <v>984</v>
      </c>
    </row>
    <row r="30" spans="1:6" x14ac:dyDescent="0.2">
      <c r="A30" s="77" t="s">
        <v>927</v>
      </c>
      <c r="B30" s="77" t="s">
        <v>261</v>
      </c>
    </row>
    <row r="31" spans="1:6" s="222" customFormat="1" x14ac:dyDescent="0.2">
      <c r="A31" s="221"/>
      <c r="B31" s="77"/>
      <c r="C31" s="221"/>
      <c r="D31" s="221"/>
      <c r="F31" s="4"/>
    </row>
    <row r="32" spans="1:6" x14ac:dyDescent="0.2">
      <c r="A32" s="221" t="s">
        <v>262</v>
      </c>
      <c r="B32" s="78"/>
    </row>
    <row r="33" spans="1:2" x14ac:dyDescent="0.2">
      <c r="A33" s="221" t="s">
        <v>263</v>
      </c>
      <c r="B33" s="78"/>
    </row>
    <row r="34" spans="1:2" x14ac:dyDescent="0.2">
      <c r="A34" s="221" t="s">
        <v>257</v>
      </c>
      <c r="B34" s="78"/>
    </row>
    <row r="35" spans="1:2" x14ac:dyDescent="0.2">
      <c r="A35" s="221" t="s">
        <v>259</v>
      </c>
      <c r="B35" s="78"/>
    </row>
    <row r="36" spans="1:2" x14ac:dyDescent="0.2">
      <c r="A36" s="221" t="s">
        <v>258</v>
      </c>
    </row>
    <row r="39" spans="1:2" x14ac:dyDescent="0.2">
      <c r="A39" s="77" t="s">
        <v>936</v>
      </c>
    </row>
    <row r="41" spans="1:2" ht="25.5" x14ac:dyDescent="0.2">
      <c r="A41" s="236" t="s">
        <v>937</v>
      </c>
      <c r="B41" s="78"/>
    </row>
    <row r="42" spans="1:2" ht="51" x14ac:dyDescent="0.2">
      <c r="A42" s="236" t="s">
        <v>938</v>
      </c>
      <c r="B42" s="78"/>
    </row>
    <row r="161" spans="1:7" x14ac:dyDescent="0.2">
      <c r="B161" s="279" t="s">
        <v>94</v>
      </c>
      <c r="C161" s="276"/>
      <c r="D161" s="276"/>
      <c r="E161" s="277"/>
      <c r="F161" s="15" t="s">
        <v>256</v>
      </c>
      <c r="G161" s="13"/>
    </row>
    <row r="162" spans="1:7" x14ac:dyDescent="0.2">
      <c r="B162" s="280" t="s">
        <v>95</v>
      </c>
      <c r="C162" s="282"/>
      <c r="D162" s="282"/>
      <c r="E162" s="282"/>
      <c r="F162" s="15" t="s">
        <v>202</v>
      </c>
      <c r="G162" s="13"/>
    </row>
    <row r="163" spans="1:7" x14ac:dyDescent="0.2">
      <c r="B163" s="281"/>
      <c r="C163" s="283"/>
      <c r="D163" s="283"/>
      <c r="E163" s="283"/>
      <c r="F163" s="15"/>
      <c r="G163" s="13"/>
    </row>
    <row r="164" spans="1:7" x14ac:dyDescent="0.2">
      <c r="B164" s="279" t="s">
        <v>98</v>
      </c>
      <c r="C164" s="276"/>
      <c r="D164" s="276"/>
      <c r="E164" s="277"/>
      <c r="F164" s="15"/>
      <c r="G164" s="13"/>
    </row>
    <row r="165" spans="1:7" x14ac:dyDescent="0.2">
      <c r="B165" s="280" t="s">
        <v>99</v>
      </c>
      <c r="C165" s="282"/>
      <c r="D165" s="282"/>
      <c r="E165" s="282"/>
      <c r="F165" s="15"/>
      <c r="G165" s="13"/>
    </row>
    <row r="166" spans="1:7" x14ac:dyDescent="0.2">
      <c r="A166" s="280" t="s">
        <v>255</v>
      </c>
      <c r="B166" s="281"/>
      <c r="C166" s="282"/>
      <c r="D166" s="282"/>
      <c r="E166" s="282"/>
      <c r="F166" s="15"/>
      <c r="G166" s="13"/>
    </row>
    <row r="167" spans="1:7" x14ac:dyDescent="0.2">
      <c r="A167" s="281"/>
      <c r="B167" s="281"/>
      <c r="C167" s="282"/>
      <c r="D167" s="282"/>
      <c r="E167" s="282"/>
      <c r="F167" s="15"/>
      <c r="G167" s="13"/>
    </row>
    <row r="168" spans="1:7" x14ac:dyDescent="0.2">
      <c r="A168" s="281"/>
      <c r="B168" s="279" t="s">
        <v>103</v>
      </c>
      <c r="C168" s="276"/>
      <c r="D168" s="276"/>
      <c r="E168" s="277"/>
      <c r="F168" s="15"/>
      <c r="G168" s="13"/>
    </row>
    <row r="169" spans="1:7" x14ac:dyDescent="0.2">
      <c r="A169" s="281"/>
      <c r="B169" s="279" t="s">
        <v>104</v>
      </c>
      <c r="C169" s="276"/>
      <c r="D169" s="276"/>
      <c r="E169" s="277"/>
      <c r="F169" s="15"/>
      <c r="G169" s="13"/>
    </row>
    <row r="170" spans="1:7" x14ac:dyDescent="0.2">
      <c r="A170" s="281"/>
      <c r="B170" s="280" t="s">
        <v>105</v>
      </c>
      <c r="C170" s="276"/>
      <c r="D170" s="276"/>
      <c r="E170" s="277"/>
      <c r="F170" s="15"/>
      <c r="G170" s="13"/>
    </row>
    <row r="171" spans="1:7" x14ac:dyDescent="0.2">
      <c r="A171" s="281"/>
      <c r="B171" s="281"/>
      <c r="C171" s="276"/>
      <c r="D171" s="276"/>
      <c r="E171" s="277"/>
      <c r="F171" s="15"/>
      <c r="G171" s="13"/>
    </row>
    <row r="172" spans="1:7" x14ac:dyDescent="0.2">
      <c r="A172" s="281"/>
      <c r="B172" s="279" t="s">
        <v>108</v>
      </c>
      <c r="C172" s="276"/>
      <c r="D172" s="276"/>
      <c r="E172" s="277"/>
      <c r="F172" s="15"/>
      <c r="G172" s="13"/>
    </row>
    <row r="173" spans="1:7" x14ac:dyDescent="0.2">
      <c r="A173" s="281"/>
      <c r="B173" s="279" t="s">
        <v>109</v>
      </c>
      <c r="C173" s="276"/>
      <c r="D173" s="276"/>
      <c r="E173" s="277"/>
      <c r="F173" s="15"/>
      <c r="G173" s="13"/>
    </row>
    <row r="174" spans="1:7" ht="12.75" customHeight="1" x14ac:dyDescent="0.2">
      <c r="A174" s="281"/>
      <c r="B174" s="280" t="s">
        <v>110</v>
      </c>
      <c r="C174" s="279" t="s">
        <v>1</v>
      </c>
      <c r="D174" s="276"/>
      <c r="E174" s="277"/>
      <c r="F174" s="15"/>
      <c r="G174" s="13"/>
    </row>
    <row r="175" spans="1:7" ht="12.75" customHeight="1" x14ac:dyDescent="0.2">
      <c r="A175" s="281"/>
      <c r="B175" s="281"/>
      <c r="C175" s="279" t="s">
        <v>112</v>
      </c>
      <c r="D175" s="276"/>
      <c r="E175" s="277"/>
      <c r="F175" s="15"/>
      <c r="G175" s="13"/>
    </row>
    <row r="176" spans="1:7" ht="12.75" customHeight="1" x14ac:dyDescent="0.2">
      <c r="A176" s="281"/>
      <c r="B176" s="281"/>
      <c r="C176" s="279" t="s">
        <v>113</v>
      </c>
      <c r="D176" s="276"/>
      <c r="E176" s="277"/>
      <c r="F176" s="15"/>
      <c r="G176" s="13"/>
    </row>
    <row r="177" spans="1:7" ht="12.75" customHeight="1" x14ac:dyDescent="0.2">
      <c r="A177" s="281"/>
      <c r="B177" s="281"/>
      <c r="C177" s="279" t="s">
        <v>114</v>
      </c>
      <c r="D177" s="276"/>
      <c r="E177" s="277"/>
      <c r="F177" s="15"/>
      <c r="G177" s="13"/>
    </row>
    <row r="178" spans="1:7" ht="12.75" customHeight="1" x14ac:dyDescent="0.2">
      <c r="A178" s="281"/>
      <c r="B178" s="281"/>
      <c r="C178" s="280" t="s">
        <v>115</v>
      </c>
      <c r="D178" s="278" t="s">
        <v>116</v>
      </c>
      <c r="E178" s="278"/>
      <c r="F178" s="15"/>
      <c r="G178" s="13"/>
    </row>
    <row r="179" spans="1:7" ht="12.75" customHeight="1" x14ac:dyDescent="0.2">
      <c r="A179" s="281"/>
      <c r="B179" s="281"/>
      <c r="C179" s="281"/>
      <c r="D179" s="278" t="s">
        <v>117</v>
      </c>
      <c r="E179" s="278"/>
      <c r="F179" s="15"/>
      <c r="G179" s="13"/>
    </row>
    <row r="180" spans="1:7" ht="12.75" customHeight="1" x14ac:dyDescent="0.2">
      <c r="A180" s="281"/>
      <c r="B180" s="281"/>
      <c r="C180" s="280" t="s">
        <v>118</v>
      </c>
      <c r="D180" s="278" t="s">
        <v>119</v>
      </c>
      <c r="E180" s="278"/>
      <c r="F180" s="15"/>
      <c r="G180" s="13"/>
    </row>
    <row r="181" spans="1:7" ht="12.75" customHeight="1" x14ac:dyDescent="0.2">
      <c r="A181" s="281"/>
      <c r="B181" s="281"/>
      <c r="C181" s="281"/>
      <c r="D181" s="278" t="s">
        <v>120</v>
      </c>
      <c r="E181" s="278"/>
      <c r="F181" s="15"/>
      <c r="G181" s="13"/>
    </row>
    <row r="182" spans="1:7" ht="12.75" customHeight="1" x14ac:dyDescent="0.2">
      <c r="A182" s="281"/>
      <c r="B182" s="281"/>
      <c r="C182" s="278" t="s">
        <v>121</v>
      </c>
      <c r="D182" s="278"/>
      <c r="E182" s="278"/>
      <c r="F182" s="15"/>
      <c r="G182" s="13"/>
    </row>
    <row r="183" spans="1:7" ht="12.75" customHeight="1" x14ac:dyDescent="0.2">
      <c r="A183" s="281"/>
      <c r="B183" s="281"/>
      <c r="C183" s="278" t="s">
        <v>122</v>
      </c>
      <c r="D183" s="278"/>
      <c r="E183" s="278"/>
      <c r="F183" s="15"/>
      <c r="G183" s="13"/>
    </row>
    <row r="184" spans="1:7" ht="12.75" customHeight="1" x14ac:dyDescent="0.2">
      <c r="A184" s="281"/>
      <c r="B184" s="281"/>
      <c r="C184" s="278" t="s">
        <v>123</v>
      </c>
      <c r="D184" s="278"/>
      <c r="E184" s="278"/>
      <c r="F184" s="15"/>
      <c r="G184" s="13"/>
    </row>
    <row r="185" spans="1:7" ht="12.75" customHeight="1" x14ac:dyDescent="0.2">
      <c r="A185" s="281"/>
      <c r="B185" s="281"/>
      <c r="C185" s="278" t="s">
        <v>124</v>
      </c>
      <c r="D185" s="278"/>
      <c r="E185" s="278"/>
      <c r="F185" s="15"/>
      <c r="G185" s="13"/>
    </row>
    <row r="186" spans="1:7" ht="12.75" customHeight="1" x14ac:dyDescent="0.2">
      <c r="A186" s="281"/>
      <c r="B186" s="281"/>
      <c r="C186" s="278" t="s">
        <v>1</v>
      </c>
      <c r="D186" s="278"/>
      <c r="E186" s="278"/>
      <c r="F186" s="15"/>
      <c r="G186" s="13"/>
    </row>
    <row r="187" spans="1:7" ht="12.75" customHeight="1" x14ac:dyDescent="0.2">
      <c r="A187" s="281"/>
      <c r="B187" s="281"/>
      <c r="C187" s="278" t="s">
        <v>126</v>
      </c>
      <c r="D187" s="278"/>
      <c r="E187" s="278"/>
      <c r="F187" s="15"/>
      <c r="G187" s="13"/>
    </row>
    <row r="188" spans="1:7" ht="12.75" customHeight="1" x14ac:dyDescent="0.2">
      <c r="A188" s="281"/>
      <c r="B188" s="281"/>
      <c r="C188" s="278" t="s">
        <v>127</v>
      </c>
      <c r="D188" s="278"/>
      <c r="E188" s="278"/>
      <c r="F188" s="15"/>
      <c r="G188" s="13"/>
    </row>
    <row r="189" spans="1:7" ht="12.75" customHeight="1" x14ac:dyDescent="0.2">
      <c r="A189" s="281"/>
      <c r="B189" s="281"/>
      <c r="C189" s="279" t="s">
        <v>1</v>
      </c>
      <c r="D189" s="276"/>
      <c r="E189" s="277"/>
      <c r="F189" s="15"/>
      <c r="G189" s="13"/>
    </row>
    <row r="190" spans="1:7" ht="12.75" customHeight="1" x14ac:dyDescent="0.2">
      <c r="A190" s="281"/>
      <c r="B190" s="281"/>
      <c r="C190" s="279" t="s">
        <v>112</v>
      </c>
      <c r="D190" s="276"/>
      <c r="E190" s="277"/>
      <c r="F190" s="15"/>
      <c r="G190" s="13"/>
    </row>
    <row r="191" spans="1:7" ht="12.75" customHeight="1" x14ac:dyDescent="0.2">
      <c r="A191" s="281"/>
      <c r="B191" s="281"/>
      <c r="C191" s="279" t="s">
        <v>113</v>
      </c>
      <c r="D191" s="276"/>
      <c r="E191" s="277"/>
      <c r="F191" s="15"/>
      <c r="G191" s="13"/>
    </row>
    <row r="192" spans="1:7" ht="12.75" customHeight="1" x14ac:dyDescent="0.2">
      <c r="A192" s="281"/>
      <c r="B192" s="281"/>
      <c r="C192" s="279" t="s">
        <v>114</v>
      </c>
      <c r="D192" s="276"/>
      <c r="E192" s="277"/>
      <c r="F192" s="15"/>
      <c r="G192" s="13"/>
    </row>
    <row r="193" spans="1:7" ht="12.75" customHeight="1" x14ac:dyDescent="0.2">
      <c r="A193" s="281"/>
      <c r="B193" s="281"/>
      <c r="C193" s="280" t="s">
        <v>115</v>
      </c>
      <c r="D193" s="278" t="s">
        <v>116</v>
      </c>
      <c r="E193" s="278"/>
      <c r="F193" s="15"/>
      <c r="G193" s="13"/>
    </row>
    <row r="194" spans="1:7" ht="12.75" customHeight="1" x14ac:dyDescent="0.2">
      <c r="A194" s="281"/>
      <c r="B194" s="281"/>
      <c r="C194" s="281"/>
      <c r="D194" s="278" t="s">
        <v>117</v>
      </c>
      <c r="E194" s="278"/>
      <c r="F194" s="15"/>
      <c r="G194" s="13"/>
    </row>
    <row r="195" spans="1:7" ht="12.75" customHeight="1" x14ac:dyDescent="0.2">
      <c r="A195" s="281"/>
      <c r="B195" s="281"/>
      <c r="C195" s="280" t="s">
        <v>118</v>
      </c>
      <c r="D195" s="278" t="s">
        <v>119</v>
      </c>
      <c r="E195" s="278"/>
      <c r="F195" s="15"/>
      <c r="G195" s="13"/>
    </row>
    <row r="196" spans="1:7" ht="12.75" customHeight="1" x14ac:dyDescent="0.2">
      <c r="A196" s="281"/>
      <c r="B196" s="281"/>
      <c r="C196" s="281"/>
      <c r="D196" s="278" t="s">
        <v>120</v>
      </c>
      <c r="E196" s="278"/>
      <c r="F196" s="15"/>
      <c r="G196" s="13"/>
    </row>
    <row r="197" spans="1:7" ht="12.75" customHeight="1" x14ac:dyDescent="0.2">
      <c r="A197" s="281"/>
      <c r="B197" s="281"/>
      <c r="C197" s="278" t="s">
        <v>121</v>
      </c>
      <c r="D197" s="278"/>
      <c r="E197" s="278"/>
      <c r="F197" s="15"/>
      <c r="G197" s="13"/>
    </row>
    <row r="198" spans="1:7" ht="12.75" customHeight="1" x14ac:dyDescent="0.2">
      <c r="A198" s="281"/>
      <c r="B198" s="281"/>
      <c r="C198" s="278" t="s">
        <v>122</v>
      </c>
      <c r="D198" s="278"/>
      <c r="E198" s="278"/>
      <c r="F198" s="15"/>
      <c r="G198" s="13"/>
    </row>
    <row r="199" spans="1:7" ht="12.75" customHeight="1" x14ac:dyDescent="0.2">
      <c r="A199" s="281"/>
      <c r="B199" s="281"/>
      <c r="C199" s="278" t="s">
        <v>123</v>
      </c>
      <c r="D199" s="278"/>
      <c r="E199" s="278"/>
      <c r="F199" s="15"/>
      <c r="G199" s="13"/>
    </row>
    <row r="200" spans="1:7" ht="12.75" customHeight="1" x14ac:dyDescent="0.2">
      <c r="A200" s="281"/>
      <c r="B200" s="281"/>
      <c r="C200" s="278" t="s">
        <v>124</v>
      </c>
      <c r="D200" s="278"/>
      <c r="E200" s="278"/>
      <c r="F200" s="15"/>
      <c r="G200" s="13"/>
    </row>
    <row r="201" spans="1:7" ht="12.75" customHeight="1" x14ac:dyDescent="0.2">
      <c r="A201" s="281"/>
      <c r="B201" s="281"/>
      <c r="C201" s="278" t="s">
        <v>1</v>
      </c>
      <c r="D201" s="278"/>
      <c r="E201" s="278"/>
      <c r="F201" s="15"/>
      <c r="G201" s="13"/>
    </row>
    <row r="202" spans="1:7" ht="12.75" customHeight="1" x14ac:dyDescent="0.2">
      <c r="A202" s="281"/>
      <c r="B202" s="281"/>
      <c r="C202" s="278" t="s">
        <v>129</v>
      </c>
      <c r="D202" s="278"/>
      <c r="E202" s="278"/>
      <c r="F202" s="15"/>
      <c r="G202" s="13"/>
    </row>
    <row r="203" spans="1:7" ht="12.75" customHeight="1" x14ac:dyDescent="0.2">
      <c r="A203" s="281"/>
      <c r="B203" s="281"/>
      <c r="C203" s="278" t="s">
        <v>130</v>
      </c>
      <c r="D203" s="278"/>
      <c r="E203" s="278"/>
      <c r="F203" s="15"/>
      <c r="G203" s="13"/>
    </row>
    <row r="204" spans="1:7" ht="12.75" customHeight="1" x14ac:dyDescent="0.2">
      <c r="A204" s="281"/>
      <c r="B204" s="281"/>
      <c r="C204" s="280" t="s">
        <v>131</v>
      </c>
      <c r="D204" s="278" t="s">
        <v>132</v>
      </c>
      <c r="E204" s="278"/>
      <c r="F204" s="15"/>
      <c r="G204" s="13"/>
    </row>
    <row r="205" spans="1:7" ht="12.75" customHeight="1" x14ac:dyDescent="0.2">
      <c r="A205" s="281"/>
      <c r="B205" s="281"/>
      <c r="C205" s="281"/>
      <c r="D205" s="278" t="s">
        <v>133</v>
      </c>
      <c r="E205" s="278"/>
      <c r="F205" s="15"/>
      <c r="G205" s="13"/>
    </row>
    <row r="206" spans="1:7" ht="12.75" customHeight="1" x14ac:dyDescent="0.2">
      <c r="A206" s="281"/>
      <c r="B206" s="281"/>
      <c r="C206" s="280" t="s">
        <v>134</v>
      </c>
      <c r="D206" s="278" t="s">
        <v>135</v>
      </c>
      <c r="E206" s="278"/>
      <c r="F206" s="15"/>
      <c r="G206" s="13"/>
    </row>
    <row r="207" spans="1:7" ht="12.75" customHeight="1" x14ac:dyDescent="0.2">
      <c r="A207" s="281"/>
      <c r="B207" s="281"/>
      <c r="C207" s="281"/>
      <c r="D207" s="278" t="s">
        <v>136</v>
      </c>
      <c r="E207" s="278"/>
      <c r="F207" s="15"/>
      <c r="G207" s="13"/>
    </row>
    <row r="208" spans="1:7" ht="12.75" customHeight="1" x14ac:dyDescent="0.2">
      <c r="A208" s="281"/>
      <c r="B208" s="281"/>
      <c r="C208" s="281"/>
      <c r="D208" s="278" t="s">
        <v>137</v>
      </c>
      <c r="E208" s="278"/>
      <c r="F208" s="15"/>
      <c r="G208" s="13"/>
    </row>
    <row r="209" spans="1:7" ht="12.75" customHeight="1" x14ac:dyDescent="0.2">
      <c r="A209" s="281"/>
      <c r="B209" s="281"/>
      <c r="C209" s="280" t="s">
        <v>138</v>
      </c>
      <c r="D209" s="280" t="s">
        <v>139</v>
      </c>
      <c r="E209" s="14" t="s">
        <v>140</v>
      </c>
      <c r="F209" s="15"/>
      <c r="G209" s="13"/>
    </row>
    <row r="210" spans="1:7" ht="12.75" customHeight="1" x14ac:dyDescent="0.2">
      <c r="A210" s="281"/>
      <c r="B210" s="281"/>
      <c r="C210" s="281"/>
      <c r="D210" s="281"/>
      <c r="E210" s="14" t="s">
        <v>141</v>
      </c>
      <c r="F210" s="15"/>
      <c r="G210" s="13"/>
    </row>
    <row r="211" spans="1:7" ht="12.75" customHeight="1" x14ac:dyDescent="0.2">
      <c r="A211" s="281"/>
      <c r="B211" s="281"/>
      <c r="C211" s="281"/>
      <c r="D211" s="281"/>
      <c r="E211" s="14" t="s">
        <v>142</v>
      </c>
      <c r="F211" s="15"/>
      <c r="G211" s="13"/>
    </row>
    <row r="212" spans="1:7" ht="12.75" customHeight="1" x14ac:dyDescent="0.2">
      <c r="A212" s="281"/>
      <c r="B212" s="281"/>
      <c r="C212" s="281"/>
      <c r="D212" s="281"/>
      <c r="E212" s="14" t="s">
        <v>143</v>
      </c>
      <c r="F212" s="15"/>
      <c r="G212" s="13"/>
    </row>
    <row r="213" spans="1:7" x14ac:dyDescent="0.2">
      <c r="A213" s="281"/>
      <c r="B213" s="281"/>
      <c r="C213" s="97" t="s">
        <v>1</v>
      </c>
      <c r="D213" s="285"/>
      <c r="E213" s="285"/>
      <c r="F213" s="16"/>
      <c r="G213" s="13"/>
    </row>
    <row r="214" spans="1:7" ht="12.75" customHeight="1" x14ac:dyDescent="0.2">
      <c r="A214" s="281"/>
      <c r="B214" s="281"/>
      <c r="C214" s="284" t="s">
        <v>145</v>
      </c>
      <c r="D214" s="284"/>
      <c r="E214" s="284"/>
      <c r="F214" s="16"/>
      <c r="G214" s="13"/>
    </row>
    <row r="215" spans="1:7" ht="12.75" customHeight="1" x14ac:dyDescent="0.2">
      <c r="A215" s="281"/>
      <c r="B215" s="281"/>
      <c r="C215" s="284" t="s">
        <v>146</v>
      </c>
      <c r="D215" s="284"/>
      <c r="E215" s="284"/>
      <c r="F215" s="16"/>
      <c r="G215" s="13"/>
    </row>
    <row r="216" spans="1:7" ht="12.75" customHeight="1" x14ac:dyDescent="0.2">
      <c r="A216" s="281"/>
      <c r="B216" s="281"/>
      <c r="C216" s="284" t="s">
        <v>147</v>
      </c>
      <c r="D216" s="284"/>
      <c r="E216" s="284"/>
      <c r="F216" s="16"/>
      <c r="G216" s="13"/>
    </row>
    <row r="217" spans="1:7" ht="12.75" customHeight="1" x14ac:dyDescent="0.2">
      <c r="A217" s="281"/>
      <c r="B217" s="281"/>
      <c r="C217" s="284" t="s">
        <v>148</v>
      </c>
      <c r="D217" s="284"/>
      <c r="E217" s="284"/>
      <c r="F217" s="16"/>
      <c r="G217" s="13"/>
    </row>
    <row r="218" spans="1:7" ht="12.75" customHeight="1" x14ac:dyDescent="0.2">
      <c r="A218" s="281"/>
      <c r="B218" s="281"/>
      <c r="C218" s="284" t="s">
        <v>149</v>
      </c>
      <c r="D218" s="284"/>
      <c r="E218" s="284"/>
      <c r="F218" s="16"/>
      <c r="G218" s="13"/>
    </row>
    <row r="219" spans="1:7" ht="12.75" customHeight="1" x14ac:dyDescent="0.2">
      <c r="A219" s="281"/>
      <c r="B219" s="281"/>
      <c r="C219" s="286" t="s">
        <v>150</v>
      </c>
      <c r="D219" s="284" t="s">
        <v>151</v>
      </c>
      <c r="E219" s="284"/>
      <c r="F219" s="16"/>
      <c r="G219" s="13"/>
    </row>
    <row r="220" spans="1:7" ht="12.75" customHeight="1" x14ac:dyDescent="0.2">
      <c r="A220" s="281"/>
      <c r="B220" s="281"/>
      <c r="C220" s="287"/>
      <c r="D220" s="284" t="s">
        <v>152</v>
      </c>
      <c r="E220" s="284"/>
      <c r="F220" s="16"/>
      <c r="G220" s="13"/>
    </row>
    <row r="221" spans="1:7" ht="12.75" customHeight="1" x14ac:dyDescent="0.2">
      <c r="A221" s="281"/>
      <c r="B221" s="281"/>
      <c r="C221" s="284" t="s">
        <v>153</v>
      </c>
      <c r="D221" s="284"/>
      <c r="E221" s="284"/>
      <c r="F221" s="16"/>
      <c r="G221" s="13"/>
    </row>
    <row r="222" spans="1:7" x14ac:dyDescent="0.2">
      <c r="A222" s="281"/>
    </row>
    <row r="223" spans="1:7" x14ac:dyDescent="0.2">
      <c r="A223" s="281"/>
    </row>
    <row r="224" spans="1:7" x14ac:dyDescent="0.2">
      <c r="A224" s="281"/>
    </row>
    <row r="225" spans="1:1" x14ac:dyDescent="0.2">
      <c r="A225" s="281"/>
    </row>
    <row r="226" spans="1:1" x14ac:dyDescent="0.2">
      <c r="A226" s="281"/>
    </row>
  </sheetData>
  <mergeCells count="71">
    <mergeCell ref="C221:E221"/>
    <mergeCell ref="D213:E213"/>
    <mergeCell ref="C214:E214"/>
    <mergeCell ref="C215:E215"/>
    <mergeCell ref="C216:E216"/>
    <mergeCell ref="C217:E217"/>
    <mergeCell ref="C218:E218"/>
    <mergeCell ref="C219:C220"/>
    <mergeCell ref="D219:E219"/>
    <mergeCell ref="D220:E220"/>
    <mergeCell ref="C201:E201"/>
    <mergeCell ref="C202:E202"/>
    <mergeCell ref="C203:E203"/>
    <mergeCell ref="C204:C205"/>
    <mergeCell ref="D204:E204"/>
    <mergeCell ref="C209:C212"/>
    <mergeCell ref="D209:D212"/>
    <mergeCell ref="D205:E205"/>
    <mergeCell ref="C206:C208"/>
    <mergeCell ref="D206:E206"/>
    <mergeCell ref="D207:E207"/>
    <mergeCell ref="D208:E208"/>
    <mergeCell ref="C198:E198"/>
    <mergeCell ref="C190:E190"/>
    <mergeCell ref="C191:E191"/>
    <mergeCell ref="C192:E192"/>
    <mergeCell ref="C193:C194"/>
    <mergeCell ref="D193:E193"/>
    <mergeCell ref="D194:E194"/>
    <mergeCell ref="C182:E182"/>
    <mergeCell ref="C195:C196"/>
    <mergeCell ref="D195:E195"/>
    <mergeCell ref="D196:E196"/>
    <mergeCell ref="C197:E197"/>
    <mergeCell ref="C185:E185"/>
    <mergeCell ref="C186:E186"/>
    <mergeCell ref="C187:E187"/>
    <mergeCell ref="C188:E188"/>
    <mergeCell ref="C189:E189"/>
    <mergeCell ref="C170:E170"/>
    <mergeCell ref="C199:E199"/>
    <mergeCell ref="C200:E200"/>
    <mergeCell ref="C184:E184"/>
    <mergeCell ref="B173:E173"/>
    <mergeCell ref="B174:B221"/>
    <mergeCell ref="C174:E174"/>
    <mergeCell ref="C175:E175"/>
    <mergeCell ref="C176:E176"/>
    <mergeCell ref="C177:E177"/>
    <mergeCell ref="C178:C179"/>
    <mergeCell ref="D178:E178"/>
    <mergeCell ref="D179:E179"/>
    <mergeCell ref="C180:C181"/>
    <mergeCell ref="D180:E180"/>
    <mergeCell ref="D181:E181"/>
    <mergeCell ref="C171:E171"/>
    <mergeCell ref="C183:E183"/>
    <mergeCell ref="B172:E172"/>
    <mergeCell ref="A166:A226"/>
    <mergeCell ref="B161:E161"/>
    <mergeCell ref="B162:B163"/>
    <mergeCell ref="C162:E162"/>
    <mergeCell ref="C163:E163"/>
    <mergeCell ref="B164:E164"/>
    <mergeCell ref="B165:B167"/>
    <mergeCell ref="C165:E165"/>
    <mergeCell ref="C166:E166"/>
    <mergeCell ref="C167:E167"/>
    <mergeCell ref="B168:E168"/>
    <mergeCell ref="B169:E169"/>
    <mergeCell ref="B170:B171"/>
  </mergeCells>
  <pageMargins left="0.7" right="0.7" top="0.75" bottom="0.75" header="0.3" footer="0.3"/>
  <pageSetup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256"/>
  <sheetViews>
    <sheetView zoomScale="80" zoomScaleNormal="80" workbookViewId="0">
      <selection activeCell="L32" sqref="L32"/>
    </sheetView>
  </sheetViews>
  <sheetFormatPr defaultRowHeight="14.25" x14ac:dyDescent="0.2"/>
  <cols>
    <col min="1" max="1" width="28" style="20" customWidth="1"/>
    <col min="2" max="2" width="34.42578125" style="20" customWidth="1"/>
    <col min="3" max="3" width="19.42578125" style="20" bestFit="1" customWidth="1"/>
    <col min="4" max="4" width="32.42578125" style="20" bestFit="1" customWidth="1"/>
    <col min="5" max="5" width="20.28515625" style="20" bestFit="1" customWidth="1"/>
    <col min="6" max="6" width="21.85546875" style="20" bestFit="1" customWidth="1"/>
    <col min="7" max="7" width="47.42578125" style="21" customWidth="1"/>
    <col min="8" max="9" width="9.140625" style="20"/>
  </cols>
  <sheetData>
    <row r="1" spans="1:9" s="3" customFormat="1" x14ac:dyDescent="0.2">
      <c r="A1" s="20"/>
      <c r="B1" s="20"/>
      <c r="C1" s="20"/>
      <c r="D1" s="20"/>
      <c r="E1" s="20"/>
      <c r="F1" s="20"/>
      <c r="G1" s="21"/>
      <c r="H1" s="20"/>
      <c r="I1" s="20"/>
    </row>
    <row r="3" spans="1:9" x14ac:dyDescent="0.2">
      <c r="A3" s="291" t="s">
        <v>255</v>
      </c>
      <c r="B3" s="279" t="s">
        <v>94</v>
      </c>
      <c r="C3" s="276"/>
      <c r="D3" s="276"/>
      <c r="E3" s="276"/>
      <c r="F3" s="277"/>
      <c r="G3" s="74" t="s">
        <v>670</v>
      </c>
    </row>
    <row r="4" spans="1:9" x14ac:dyDescent="0.2">
      <c r="A4" s="292"/>
      <c r="B4" s="278" t="s">
        <v>95</v>
      </c>
      <c r="C4" s="279" t="s">
        <v>96</v>
      </c>
      <c r="D4" s="276"/>
      <c r="E4" s="276"/>
      <c r="F4" s="277"/>
      <c r="G4" s="74" t="s">
        <v>202</v>
      </c>
    </row>
    <row r="5" spans="1:9" x14ac:dyDescent="0.2">
      <c r="A5" s="292"/>
      <c r="B5" s="282"/>
      <c r="C5" s="279" t="s">
        <v>97</v>
      </c>
      <c r="D5" s="276"/>
      <c r="E5" s="276"/>
      <c r="F5" s="277"/>
      <c r="G5" s="75" t="s">
        <v>585</v>
      </c>
    </row>
    <row r="6" spans="1:9" x14ac:dyDescent="0.2">
      <c r="A6" s="292"/>
      <c r="B6" s="279" t="s">
        <v>98</v>
      </c>
      <c r="C6" s="276"/>
      <c r="D6" s="276"/>
      <c r="E6" s="276"/>
      <c r="F6" s="277"/>
      <c r="G6" s="75" t="s">
        <v>585</v>
      </c>
    </row>
    <row r="7" spans="1:9" x14ac:dyDescent="0.2">
      <c r="A7" s="292"/>
      <c r="B7" s="278" t="s">
        <v>99</v>
      </c>
      <c r="C7" s="66" t="s">
        <v>100</v>
      </c>
      <c r="D7" s="282"/>
      <c r="E7" s="282"/>
      <c r="F7" s="282"/>
      <c r="G7" s="75" t="s">
        <v>585</v>
      </c>
    </row>
    <row r="8" spans="1:9" x14ac:dyDescent="0.2">
      <c r="A8" s="292"/>
      <c r="B8" s="282"/>
      <c r="C8" s="66" t="s">
        <v>101</v>
      </c>
      <c r="D8" s="282"/>
      <c r="E8" s="282"/>
      <c r="F8" s="282"/>
      <c r="G8" s="75" t="s">
        <v>585</v>
      </c>
    </row>
    <row r="9" spans="1:9" x14ac:dyDescent="0.2">
      <c r="A9" s="292"/>
      <c r="B9" s="282"/>
      <c r="C9" s="66" t="s">
        <v>102</v>
      </c>
      <c r="D9" s="282"/>
      <c r="E9" s="282"/>
      <c r="F9" s="282"/>
      <c r="G9" s="75" t="s">
        <v>585</v>
      </c>
    </row>
    <row r="10" spans="1:9" x14ac:dyDescent="0.2">
      <c r="A10" s="292"/>
      <c r="B10" s="279" t="s">
        <v>103</v>
      </c>
      <c r="C10" s="276"/>
      <c r="D10" s="276"/>
      <c r="E10" s="276"/>
      <c r="F10" s="277"/>
      <c r="G10" s="74" t="s">
        <v>202</v>
      </c>
    </row>
    <row r="11" spans="1:9" x14ac:dyDescent="0.2">
      <c r="A11" s="292"/>
      <c r="B11" s="279" t="s">
        <v>104</v>
      </c>
      <c r="C11" s="276"/>
      <c r="D11" s="276"/>
      <c r="E11" s="276"/>
      <c r="F11" s="277"/>
      <c r="G11" s="74" t="s">
        <v>202</v>
      </c>
    </row>
    <row r="12" spans="1:9" x14ac:dyDescent="0.2">
      <c r="A12" s="292"/>
      <c r="B12" s="278" t="s">
        <v>105</v>
      </c>
      <c r="C12" s="279" t="s">
        <v>106</v>
      </c>
      <c r="D12" s="276"/>
      <c r="E12" s="276"/>
      <c r="F12" s="277"/>
      <c r="G12" s="75" t="s">
        <v>585</v>
      </c>
    </row>
    <row r="13" spans="1:9" x14ac:dyDescent="0.2">
      <c r="A13" s="292"/>
      <c r="B13" s="282"/>
      <c r="C13" s="279" t="s">
        <v>107</v>
      </c>
      <c r="D13" s="276"/>
      <c r="E13" s="276"/>
      <c r="F13" s="277"/>
      <c r="G13" s="74" t="s">
        <v>202</v>
      </c>
    </row>
    <row r="14" spans="1:9" x14ac:dyDescent="0.2">
      <c r="A14" s="292"/>
      <c r="B14" s="279" t="s">
        <v>108</v>
      </c>
      <c r="C14" s="276"/>
      <c r="D14" s="276"/>
      <c r="E14" s="276"/>
      <c r="F14" s="277"/>
      <c r="G14" s="75" t="s">
        <v>612</v>
      </c>
    </row>
    <row r="15" spans="1:9" x14ac:dyDescent="0.2">
      <c r="A15" s="292"/>
      <c r="B15" s="279" t="s">
        <v>109</v>
      </c>
      <c r="C15" s="276"/>
      <c r="D15" s="276"/>
      <c r="E15" s="276"/>
      <c r="F15" s="277"/>
      <c r="G15" s="74">
        <v>20</v>
      </c>
    </row>
    <row r="16" spans="1:9" x14ac:dyDescent="0.2">
      <c r="A16" s="292"/>
      <c r="B16" s="278" t="s">
        <v>110</v>
      </c>
      <c r="C16" s="278" t="s">
        <v>111</v>
      </c>
      <c r="D16" s="279" t="s">
        <v>1</v>
      </c>
      <c r="E16" s="276"/>
      <c r="F16" s="277"/>
      <c r="G16" s="74" t="s">
        <v>613</v>
      </c>
    </row>
    <row r="17" spans="1:9" x14ac:dyDescent="0.2">
      <c r="A17" s="292"/>
      <c r="B17" s="282"/>
      <c r="C17" s="282"/>
      <c r="D17" s="279" t="s">
        <v>112</v>
      </c>
      <c r="E17" s="276"/>
      <c r="F17" s="277"/>
      <c r="G17" s="74">
        <v>2</v>
      </c>
    </row>
    <row r="18" spans="1:9" x14ac:dyDescent="0.2">
      <c r="A18" s="292"/>
      <c r="B18" s="282"/>
      <c r="C18" s="282"/>
      <c r="D18" s="279" t="s">
        <v>113</v>
      </c>
      <c r="E18" s="276"/>
      <c r="F18" s="277"/>
      <c r="G18" s="74">
        <v>1</v>
      </c>
    </row>
    <row r="19" spans="1:9" x14ac:dyDescent="0.2">
      <c r="A19" s="292"/>
      <c r="B19" s="282"/>
      <c r="C19" s="282"/>
      <c r="D19" s="279" t="s">
        <v>114</v>
      </c>
      <c r="E19" s="276"/>
      <c r="F19" s="277"/>
      <c r="G19" s="74">
        <v>2</v>
      </c>
    </row>
    <row r="20" spans="1:9" x14ac:dyDescent="0.2">
      <c r="A20" s="292"/>
      <c r="B20" s="282"/>
      <c r="C20" s="282"/>
      <c r="D20" s="278" t="s">
        <v>115</v>
      </c>
      <c r="E20" s="278" t="s">
        <v>116</v>
      </c>
      <c r="F20" s="278"/>
      <c r="G20" s="75" t="s">
        <v>585</v>
      </c>
    </row>
    <row r="21" spans="1:9" x14ac:dyDescent="0.2">
      <c r="A21" s="292"/>
      <c r="B21" s="282"/>
      <c r="C21" s="282"/>
      <c r="D21" s="282"/>
      <c r="E21" s="278" t="s">
        <v>117</v>
      </c>
      <c r="F21" s="278"/>
      <c r="G21" s="74" t="s">
        <v>202</v>
      </c>
    </row>
    <row r="22" spans="1:9" x14ac:dyDescent="0.2">
      <c r="A22" s="292"/>
      <c r="B22" s="282"/>
      <c r="C22" s="282"/>
      <c r="D22" s="278" t="s">
        <v>118</v>
      </c>
      <c r="E22" s="278" t="s">
        <v>119</v>
      </c>
      <c r="F22" s="278"/>
      <c r="G22" s="74" t="s">
        <v>202</v>
      </c>
    </row>
    <row r="23" spans="1:9" x14ac:dyDescent="0.2">
      <c r="A23" s="292"/>
      <c r="B23" s="282"/>
      <c r="C23" s="282"/>
      <c r="D23" s="282"/>
      <c r="E23" s="278" t="s">
        <v>120</v>
      </c>
      <c r="F23" s="278"/>
      <c r="G23" s="75" t="s">
        <v>585</v>
      </c>
    </row>
    <row r="24" spans="1:9" x14ac:dyDescent="0.2">
      <c r="A24" s="292"/>
      <c r="B24" s="282"/>
      <c r="C24" s="282"/>
      <c r="D24" s="278" t="s">
        <v>121</v>
      </c>
      <c r="E24" s="278"/>
      <c r="F24" s="278"/>
      <c r="G24" s="74">
        <v>0</v>
      </c>
    </row>
    <row r="25" spans="1:9" x14ac:dyDescent="0.2">
      <c r="A25" s="292"/>
      <c r="B25" s="282"/>
      <c r="C25" s="282"/>
      <c r="D25" s="278" t="s">
        <v>122</v>
      </c>
      <c r="E25" s="278"/>
      <c r="F25" s="278"/>
      <c r="G25" s="74">
        <v>60</v>
      </c>
    </row>
    <row r="26" spans="1:9" ht="25.5" x14ac:dyDescent="0.2">
      <c r="A26" s="292"/>
      <c r="B26" s="282"/>
      <c r="C26" s="282"/>
      <c r="D26" s="278" t="s">
        <v>123</v>
      </c>
      <c r="E26" s="278"/>
      <c r="F26" s="278"/>
      <c r="G26" s="76" t="s">
        <v>614</v>
      </c>
    </row>
    <row r="27" spans="1:9" x14ac:dyDescent="0.2">
      <c r="A27" s="292"/>
      <c r="B27" s="282"/>
      <c r="C27" s="282"/>
      <c r="D27" s="278" t="s">
        <v>124</v>
      </c>
      <c r="E27" s="278"/>
      <c r="F27" s="278"/>
      <c r="G27" s="74"/>
    </row>
    <row r="28" spans="1:9" x14ac:dyDescent="0.2">
      <c r="A28" s="292"/>
      <c r="B28" s="282"/>
      <c r="C28" s="278" t="s">
        <v>125</v>
      </c>
      <c r="D28" s="278" t="s">
        <v>1</v>
      </c>
      <c r="E28" s="278"/>
      <c r="F28" s="278"/>
      <c r="G28" s="74" t="s">
        <v>125</v>
      </c>
    </row>
    <row r="29" spans="1:9" x14ac:dyDescent="0.2">
      <c r="A29" s="292"/>
      <c r="B29" s="282"/>
      <c r="C29" s="282"/>
      <c r="D29" s="278" t="s">
        <v>126</v>
      </c>
      <c r="E29" s="278"/>
      <c r="F29" s="278"/>
      <c r="G29" s="74">
        <v>545</v>
      </c>
    </row>
    <row r="30" spans="1:9" x14ac:dyDescent="0.2">
      <c r="A30" s="292"/>
      <c r="B30" s="282"/>
      <c r="C30" s="282"/>
      <c r="D30" s="278" t="s">
        <v>127</v>
      </c>
      <c r="E30" s="278"/>
      <c r="F30" s="278"/>
      <c r="G30" s="74">
        <v>605</v>
      </c>
    </row>
    <row r="31" spans="1:9" s="3" customFormat="1" x14ac:dyDescent="0.2">
      <c r="A31" s="292"/>
      <c r="B31" s="282"/>
      <c r="C31" s="278" t="s">
        <v>111</v>
      </c>
      <c r="D31" s="279" t="s">
        <v>1</v>
      </c>
      <c r="E31" s="276"/>
      <c r="F31" s="277"/>
      <c r="G31" s="74" t="s">
        <v>615</v>
      </c>
      <c r="H31" s="20"/>
      <c r="I31" s="20"/>
    </row>
    <row r="32" spans="1:9" s="3" customFormat="1" x14ac:dyDescent="0.2">
      <c r="A32" s="292"/>
      <c r="B32" s="282"/>
      <c r="C32" s="282"/>
      <c r="D32" s="279" t="s">
        <v>112</v>
      </c>
      <c r="E32" s="276"/>
      <c r="F32" s="277"/>
      <c r="G32" s="74">
        <v>2</v>
      </c>
      <c r="H32" s="20"/>
      <c r="I32" s="20"/>
    </row>
    <row r="33" spans="1:9" s="3" customFormat="1" x14ac:dyDescent="0.2">
      <c r="A33" s="292"/>
      <c r="B33" s="282"/>
      <c r="C33" s="282"/>
      <c r="D33" s="279" t="s">
        <v>113</v>
      </c>
      <c r="E33" s="276"/>
      <c r="F33" s="277"/>
      <c r="G33" s="74">
        <v>1</v>
      </c>
      <c r="H33" s="20"/>
      <c r="I33" s="20"/>
    </row>
    <row r="34" spans="1:9" s="3" customFormat="1" x14ac:dyDescent="0.2">
      <c r="A34" s="292"/>
      <c r="B34" s="282"/>
      <c r="C34" s="282"/>
      <c r="D34" s="279" t="s">
        <v>114</v>
      </c>
      <c r="E34" s="276"/>
      <c r="F34" s="277"/>
      <c r="G34" s="74">
        <v>2</v>
      </c>
      <c r="H34" s="20"/>
      <c r="I34" s="20"/>
    </row>
    <row r="35" spans="1:9" s="3" customFormat="1" x14ac:dyDescent="0.2">
      <c r="A35" s="292"/>
      <c r="B35" s="282"/>
      <c r="C35" s="282"/>
      <c r="D35" s="278" t="s">
        <v>115</v>
      </c>
      <c r="E35" s="278" t="s">
        <v>116</v>
      </c>
      <c r="F35" s="278"/>
      <c r="G35" s="75" t="s">
        <v>585</v>
      </c>
      <c r="H35" s="20"/>
      <c r="I35" s="20"/>
    </row>
    <row r="36" spans="1:9" s="3" customFormat="1" x14ac:dyDescent="0.2">
      <c r="A36" s="292"/>
      <c r="B36" s="282"/>
      <c r="C36" s="282"/>
      <c r="D36" s="282"/>
      <c r="E36" s="278" t="s">
        <v>117</v>
      </c>
      <c r="F36" s="278"/>
      <c r="G36" s="74" t="s">
        <v>202</v>
      </c>
      <c r="H36" s="20"/>
      <c r="I36" s="20"/>
    </row>
    <row r="37" spans="1:9" s="3" customFormat="1" x14ac:dyDescent="0.2">
      <c r="A37" s="292"/>
      <c r="B37" s="282"/>
      <c r="C37" s="282"/>
      <c r="D37" s="278" t="s">
        <v>118</v>
      </c>
      <c r="E37" s="278" t="s">
        <v>119</v>
      </c>
      <c r="F37" s="278"/>
      <c r="G37" s="74" t="s">
        <v>202</v>
      </c>
      <c r="H37" s="20"/>
      <c r="I37" s="20"/>
    </row>
    <row r="38" spans="1:9" s="3" customFormat="1" x14ac:dyDescent="0.2">
      <c r="A38" s="292"/>
      <c r="B38" s="282"/>
      <c r="C38" s="282"/>
      <c r="D38" s="282"/>
      <c r="E38" s="278" t="s">
        <v>120</v>
      </c>
      <c r="F38" s="278"/>
      <c r="G38" s="75" t="s">
        <v>585</v>
      </c>
      <c r="H38" s="20"/>
      <c r="I38" s="20"/>
    </row>
    <row r="39" spans="1:9" s="3" customFormat="1" x14ac:dyDescent="0.2">
      <c r="A39" s="292"/>
      <c r="B39" s="282"/>
      <c r="C39" s="282"/>
      <c r="D39" s="278" t="s">
        <v>121</v>
      </c>
      <c r="E39" s="278"/>
      <c r="F39" s="278"/>
      <c r="G39" s="74">
        <v>0</v>
      </c>
      <c r="H39" s="20"/>
      <c r="I39" s="20"/>
    </row>
    <row r="40" spans="1:9" s="3" customFormat="1" x14ac:dyDescent="0.2">
      <c r="A40" s="292"/>
      <c r="B40" s="282"/>
      <c r="C40" s="282"/>
      <c r="D40" s="278" t="s">
        <v>122</v>
      </c>
      <c r="E40" s="278"/>
      <c r="F40" s="278"/>
      <c r="G40" s="74">
        <v>60</v>
      </c>
      <c r="H40" s="20"/>
      <c r="I40" s="20"/>
    </row>
    <row r="41" spans="1:9" s="3" customFormat="1" x14ac:dyDescent="0.2">
      <c r="A41" s="292"/>
      <c r="B41" s="282"/>
      <c r="C41" s="282"/>
      <c r="D41" s="278" t="s">
        <v>123</v>
      </c>
      <c r="E41" s="278"/>
      <c r="F41" s="278"/>
      <c r="G41" s="74" t="s">
        <v>262</v>
      </c>
      <c r="H41" s="20"/>
      <c r="I41" s="20"/>
    </row>
    <row r="42" spans="1:9" x14ac:dyDescent="0.2">
      <c r="A42" s="292"/>
      <c r="B42" s="282"/>
      <c r="C42" s="288" t="s">
        <v>128</v>
      </c>
      <c r="D42" s="278" t="s">
        <v>1</v>
      </c>
      <c r="E42" s="278"/>
      <c r="F42" s="278"/>
      <c r="G42" s="74" t="s">
        <v>616</v>
      </c>
    </row>
    <row r="43" spans="1:9" x14ac:dyDescent="0.2">
      <c r="A43" s="292"/>
      <c r="B43" s="282"/>
      <c r="C43" s="289"/>
      <c r="D43" s="278" t="s">
        <v>129</v>
      </c>
      <c r="E43" s="278"/>
      <c r="F43" s="278"/>
      <c r="G43" s="74">
        <v>1</v>
      </c>
    </row>
    <row r="44" spans="1:9" x14ac:dyDescent="0.2">
      <c r="A44" s="292"/>
      <c r="B44" s="282"/>
      <c r="C44" s="289"/>
      <c r="D44" s="278" t="s">
        <v>130</v>
      </c>
      <c r="E44" s="278"/>
      <c r="F44" s="278"/>
      <c r="G44" s="74">
        <v>3</v>
      </c>
    </row>
    <row r="45" spans="1:9" x14ac:dyDescent="0.2">
      <c r="A45" s="292"/>
      <c r="B45" s="282"/>
      <c r="C45" s="289"/>
      <c r="D45" s="278" t="s">
        <v>131</v>
      </c>
      <c r="E45" s="278" t="s">
        <v>132</v>
      </c>
      <c r="F45" s="278"/>
      <c r="G45" s="74" t="s">
        <v>202</v>
      </c>
    </row>
    <row r="46" spans="1:9" x14ac:dyDescent="0.2">
      <c r="A46" s="292"/>
      <c r="B46" s="282"/>
      <c r="C46" s="289"/>
      <c r="D46" s="282"/>
      <c r="E46" s="278" t="s">
        <v>133</v>
      </c>
      <c r="F46" s="278"/>
      <c r="G46" s="75" t="s">
        <v>585</v>
      </c>
    </row>
    <row r="47" spans="1:9" x14ac:dyDescent="0.2">
      <c r="A47" s="292"/>
      <c r="B47" s="282"/>
      <c r="C47" s="289"/>
      <c r="D47" s="278" t="s">
        <v>134</v>
      </c>
      <c r="E47" s="278" t="s">
        <v>135</v>
      </c>
      <c r="F47" s="278"/>
      <c r="G47" s="74" t="s">
        <v>202</v>
      </c>
    </row>
    <row r="48" spans="1:9" x14ac:dyDescent="0.2">
      <c r="A48" s="292"/>
      <c r="B48" s="282"/>
      <c r="C48" s="289"/>
      <c r="D48" s="282"/>
      <c r="E48" s="278" t="s">
        <v>136</v>
      </c>
      <c r="F48" s="278"/>
      <c r="G48" s="75" t="s">
        <v>585</v>
      </c>
    </row>
    <row r="49" spans="1:9" x14ac:dyDescent="0.2">
      <c r="A49" s="292"/>
      <c r="B49" s="282"/>
      <c r="C49" s="289"/>
      <c r="D49" s="282"/>
      <c r="E49" s="278" t="s">
        <v>137</v>
      </c>
      <c r="F49" s="278"/>
      <c r="G49" s="75" t="s">
        <v>585</v>
      </c>
    </row>
    <row r="50" spans="1:9" x14ac:dyDescent="0.2">
      <c r="A50" s="292"/>
      <c r="B50" s="282"/>
      <c r="C50" s="289"/>
      <c r="D50" s="293" t="s">
        <v>617</v>
      </c>
      <c r="E50" s="278" t="s">
        <v>139</v>
      </c>
      <c r="F50" s="66" t="s">
        <v>140</v>
      </c>
      <c r="G50" s="74">
        <v>65</v>
      </c>
    </row>
    <row r="51" spans="1:9" x14ac:dyDescent="0.2">
      <c r="A51" s="292"/>
      <c r="B51" s="282"/>
      <c r="C51" s="289"/>
      <c r="D51" s="294"/>
      <c r="E51" s="282"/>
      <c r="F51" s="66" t="s">
        <v>141</v>
      </c>
      <c r="G51" s="74">
        <v>55</v>
      </c>
    </row>
    <row r="52" spans="1:9" x14ac:dyDescent="0.2">
      <c r="A52" s="292"/>
      <c r="B52" s="282"/>
      <c r="C52" s="289"/>
      <c r="D52" s="294"/>
      <c r="E52" s="282"/>
      <c r="F52" s="66" t="s">
        <v>142</v>
      </c>
      <c r="G52" s="74">
        <v>10</v>
      </c>
    </row>
    <row r="53" spans="1:9" x14ac:dyDescent="0.2">
      <c r="A53" s="292"/>
      <c r="B53" s="282"/>
      <c r="C53" s="289"/>
      <c r="D53" s="294"/>
      <c r="E53" s="282"/>
      <c r="F53" s="66" t="s">
        <v>143</v>
      </c>
      <c r="G53" s="74">
        <v>0</v>
      </c>
    </row>
    <row r="54" spans="1:9" s="68" customFormat="1" x14ac:dyDescent="0.2">
      <c r="A54" s="292"/>
      <c r="B54" s="282"/>
      <c r="C54" s="289"/>
      <c r="D54" s="294"/>
      <c r="E54" s="278" t="s">
        <v>139</v>
      </c>
      <c r="F54" s="66" t="s">
        <v>140</v>
      </c>
      <c r="G54" s="74">
        <v>55</v>
      </c>
      <c r="H54" s="34"/>
      <c r="I54" s="34"/>
    </row>
    <row r="55" spans="1:9" s="68" customFormat="1" x14ac:dyDescent="0.2">
      <c r="A55" s="292"/>
      <c r="B55" s="282"/>
      <c r="C55" s="289"/>
      <c r="D55" s="294"/>
      <c r="E55" s="282"/>
      <c r="F55" s="66" t="s">
        <v>141</v>
      </c>
      <c r="G55" s="74">
        <v>45</v>
      </c>
      <c r="H55" s="34"/>
      <c r="I55" s="34"/>
    </row>
    <row r="56" spans="1:9" s="68" customFormat="1" x14ac:dyDescent="0.2">
      <c r="A56" s="292"/>
      <c r="B56" s="282"/>
      <c r="C56" s="289"/>
      <c r="D56" s="294"/>
      <c r="E56" s="282"/>
      <c r="F56" s="66" t="s">
        <v>142</v>
      </c>
      <c r="G56" s="74">
        <v>10</v>
      </c>
      <c r="H56" s="34"/>
      <c r="I56" s="34"/>
    </row>
    <row r="57" spans="1:9" s="68" customFormat="1" x14ac:dyDescent="0.2">
      <c r="A57" s="292"/>
      <c r="B57" s="282"/>
      <c r="C57" s="289"/>
      <c r="D57" s="294"/>
      <c r="E57" s="282"/>
      <c r="F57" s="66" t="s">
        <v>143</v>
      </c>
      <c r="G57" s="74">
        <v>0</v>
      </c>
      <c r="H57" s="34"/>
      <c r="I57" s="34"/>
    </row>
    <row r="58" spans="1:9" s="68" customFormat="1" x14ac:dyDescent="0.2">
      <c r="A58" s="292"/>
      <c r="B58" s="282"/>
      <c r="C58" s="289"/>
      <c r="D58" s="294"/>
      <c r="E58" s="278" t="s">
        <v>139</v>
      </c>
      <c r="F58" s="66" t="s">
        <v>140</v>
      </c>
      <c r="G58" s="74">
        <v>45</v>
      </c>
      <c r="H58" s="34"/>
      <c r="I58" s="34"/>
    </row>
    <row r="59" spans="1:9" s="68" customFormat="1" x14ac:dyDescent="0.2">
      <c r="A59" s="292"/>
      <c r="B59" s="282"/>
      <c r="C59" s="289"/>
      <c r="D59" s="294"/>
      <c r="E59" s="282"/>
      <c r="F59" s="66" t="s">
        <v>141</v>
      </c>
      <c r="G59" s="74">
        <v>35</v>
      </c>
      <c r="H59" s="34"/>
      <c r="I59" s="34"/>
    </row>
    <row r="60" spans="1:9" s="68" customFormat="1" x14ac:dyDescent="0.2">
      <c r="A60" s="292"/>
      <c r="B60" s="282"/>
      <c r="C60" s="289"/>
      <c r="D60" s="294"/>
      <c r="E60" s="282"/>
      <c r="F60" s="66" t="s">
        <v>142</v>
      </c>
      <c r="G60" s="74">
        <v>10</v>
      </c>
      <c r="H60" s="34"/>
      <c r="I60" s="34"/>
    </row>
    <row r="61" spans="1:9" s="68" customFormat="1" x14ac:dyDescent="0.2">
      <c r="A61" s="292"/>
      <c r="B61" s="282"/>
      <c r="C61" s="289"/>
      <c r="D61" s="294"/>
      <c r="E61" s="282"/>
      <c r="F61" s="66" t="s">
        <v>143</v>
      </c>
      <c r="G61" s="74">
        <v>0</v>
      </c>
      <c r="H61" s="34"/>
      <c r="I61" s="34"/>
    </row>
    <row r="62" spans="1:9" s="68" customFormat="1" x14ac:dyDescent="0.2">
      <c r="A62" s="292"/>
      <c r="B62" s="282"/>
      <c r="C62" s="289"/>
      <c r="D62" s="294"/>
      <c r="E62" s="278" t="s">
        <v>139</v>
      </c>
      <c r="F62" s="66" t="s">
        <v>140</v>
      </c>
      <c r="G62" s="74">
        <v>35</v>
      </c>
      <c r="H62" s="34"/>
      <c r="I62" s="34"/>
    </row>
    <row r="63" spans="1:9" s="68" customFormat="1" x14ac:dyDescent="0.2">
      <c r="A63" s="292"/>
      <c r="B63" s="282"/>
      <c r="C63" s="289"/>
      <c r="D63" s="294"/>
      <c r="E63" s="282"/>
      <c r="F63" s="66" t="s">
        <v>141</v>
      </c>
      <c r="G63" s="74">
        <v>25</v>
      </c>
      <c r="H63" s="34"/>
      <c r="I63" s="34"/>
    </row>
    <row r="64" spans="1:9" s="68" customFormat="1" x14ac:dyDescent="0.2">
      <c r="A64" s="292"/>
      <c r="B64" s="282"/>
      <c r="C64" s="289"/>
      <c r="D64" s="294"/>
      <c r="E64" s="282"/>
      <c r="F64" s="66" t="s">
        <v>142</v>
      </c>
      <c r="G64" s="74">
        <v>10</v>
      </c>
      <c r="H64" s="34"/>
      <c r="I64" s="34"/>
    </row>
    <row r="65" spans="1:9" s="68" customFormat="1" x14ac:dyDescent="0.2">
      <c r="A65" s="292"/>
      <c r="B65" s="282"/>
      <c r="C65" s="289"/>
      <c r="D65" s="294"/>
      <c r="E65" s="282"/>
      <c r="F65" s="66" t="s">
        <v>143</v>
      </c>
      <c r="G65" s="74">
        <v>0</v>
      </c>
      <c r="H65" s="34"/>
      <c r="I65" s="34"/>
    </row>
    <row r="66" spans="1:9" s="68" customFormat="1" x14ac:dyDescent="0.2">
      <c r="A66" s="292"/>
      <c r="B66" s="282"/>
      <c r="C66" s="289"/>
      <c r="D66" s="294"/>
      <c r="E66" s="278" t="s">
        <v>139</v>
      </c>
      <c r="F66" s="66" t="s">
        <v>140</v>
      </c>
      <c r="G66" s="74">
        <v>25</v>
      </c>
      <c r="H66" s="34"/>
      <c r="I66" s="34"/>
    </row>
    <row r="67" spans="1:9" s="68" customFormat="1" x14ac:dyDescent="0.2">
      <c r="A67" s="292"/>
      <c r="B67" s="282"/>
      <c r="C67" s="289"/>
      <c r="D67" s="294"/>
      <c r="E67" s="282"/>
      <c r="F67" s="66" t="s">
        <v>141</v>
      </c>
      <c r="G67" s="74">
        <v>15</v>
      </c>
      <c r="H67" s="34"/>
      <c r="I67" s="34"/>
    </row>
    <row r="68" spans="1:9" s="68" customFormat="1" x14ac:dyDescent="0.2">
      <c r="A68" s="292"/>
      <c r="B68" s="282"/>
      <c r="C68" s="289"/>
      <c r="D68" s="294"/>
      <c r="E68" s="282"/>
      <c r="F68" s="66" t="s">
        <v>142</v>
      </c>
      <c r="G68" s="74">
        <v>10</v>
      </c>
      <c r="H68" s="34"/>
      <c r="I68" s="34"/>
    </row>
    <row r="69" spans="1:9" s="68" customFormat="1" x14ac:dyDescent="0.2">
      <c r="A69" s="292"/>
      <c r="B69" s="282"/>
      <c r="C69" s="289"/>
      <c r="D69" s="294"/>
      <c r="E69" s="282"/>
      <c r="F69" s="66" t="s">
        <v>143</v>
      </c>
      <c r="G69" s="74">
        <v>0</v>
      </c>
      <c r="H69" s="34"/>
      <c r="I69" s="34"/>
    </row>
    <row r="70" spans="1:9" s="68" customFormat="1" x14ac:dyDescent="0.2">
      <c r="A70" s="292"/>
      <c r="B70" s="282"/>
      <c r="C70" s="289"/>
      <c r="D70" s="294"/>
      <c r="E70" s="278" t="s">
        <v>139</v>
      </c>
      <c r="F70" s="66" t="s">
        <v>140</v>
      </c>
      <c r="G70" s="74">
        <v>15</v>
      </c>
      <c r="H70" s="34"/>
      <c r="I70" s="34"/>
    </row>
    <row r="71" spans="1:9" s="68" customFormat="1" x14ac:dyDescent="0.2">
      <c r="A71" s="292"/>
      <c r="B71" s="282"/>
      <c r="C71" s="289"/>
      <c r="D71" s="294"/>
      <c r="E71" s="282"/>
      <c r="F71" s="66" t="s">
        <v>141</v>
      </c>
      <c r="G71" s="74">
        <v>5</v>
      </c>
      <c r="H71" s="34"/>
      <c r="I71" s="34"/>
    </row>
    <row r="72" spans="1:9" s="68" customFormat="1" x14ac:dyDescent="0.2">
      <c r="A72" s="292"/>
      <c r="B72" s="282"/>
      <c r="C72" s="289"/>
      <c r="D72" s="294"/>
      <c r="E72" s="282"/>
      <c r="F72" s="66" t="s">
        <v>142</v>
      </c>
      <c r="G72" s="74">
        <v>10</v>
      </c>
      <c r="H72" s="34"/>
      <c r="I72" s="34"/>
    </row>
    <row r="73" spans="1:9" s="68" customFormat="1" x14ac:dyDescent="0.2">
      <c r="A73" s="292"/>
      <c r="B73" s="282"/>
      <c r="C73" s="290"/>
      <c r="D73" s="295"/>
      <c r="E73" s="282"/>
      <c r="F73" s="66" t="s">
        <v>143</v>
      </c>
      <c r="G73" s="74">
        <v>0</v>
      </c>
      <c r="H73" s="34"/>
      <c r="I73" s="34"/>
    </row>
    <row r="74" spans="1:9" x14ac:dyDescent="0.2">
      <c r="A74" s="292"/>
      <c r="B74" s="282"/>
      <c r="C74" s="284" t="s">
        <v>144</v>
      </c>
      <c r="D74" s="67" t="s">
        <v>1</v>
      </c>
      <c r="E74" s="285"/>
      <c r="F74" s="285"/>
      <c r="G74" s="16"/>
    </row>
    <row r="75" spans="1:9" x14ac:dyDescent="0.2">
      <c r="A75" s="292"/>
      <c r="B75" s="282"/>
      <c r="C75" s="285"/>
      <c r="D75" s="284" t="s">
        <v>145</v>
      </c>
      <c r="E75" s="284"/>
      <c r="F75" s="284"/>
      <c r="G75" s="16"/>
    </row>
    <row r="76" spans="1:9" x14ac:dyDescent="0.2">
      <c r="A76" s="292"/>
      <c r="B76" s="282"/>
      <c r="C76" s="285"/>
      <c r="D76" s="284" t="s">
        <v>146</v>
      </c>
      <c r="E76" s="284"/>
      <c r="F76" s="284"/>
      <c r="G76" s="16"/>
    </row>
    <row r="77" spans="1:9" x14ac:dyDescent="0.2">
      <c r="A77" s="292"/>
      <c r="B77" s="282"/>
      <c r="C77" s="285"/>
      <c r="D77" s="284" t="s">
        <v>147</v>
      </c>
      <c r="E77" s="284"/>
      <c r="F77" s="284"/>
      <c r="G77" s="16"/>
    </row>
    <row r="78" spans="1:9" x14ac:dyDescent="0.2">
      <c r="A78" s="292"/>
      <c r="B78" s="282"/>
      <c r="C78" s="285"/>
      <c r="D78" s="284" t="s">
        <v>148</v>
      </c>
      <c r="E78" s="284"/>
      <c r="F78" s="284"/>
      <c r="G78" s="16"/>
    </row>
    <row r="79" spans="1:9" x14ac:dyDescent="0.2">
      <c r="A79" s="292"/>
      <c r="B79" s="282"/>
      <c r="C79" s="285"/>
      <c r="D79" s="284" t="s">
        <v>149</v>
      </c>
      <c r="E79" s="284"/>
      <c r="F79" s="284"/>
      <c r="G79" s="16"/>
    </row>
    <row r="80" spans="1:9" x14ac:dyDescent="0.2">
      <c r="A80" s="292"/>
      <c r="B80" s="282"/>
      <c r="C80" s="285"/>
      <c r="D80" s="284" t="s">
        <v>150</v>
      </c>
      <c r="E80" s="284" t="s">
        <v>151</v>
      </c>
      <c r="F80" s="284"/>
      <c r="G80" s="16"/>
    </row>
    <row r="81" spans="1:7" x14ac:dyDescent="0.2">
      <c r="A81" s="292"/>
      <c r="B81" s="282"/>
      <c r="C81" s="285"/>
      <c r="D81" s="285"/>
      <c r="E81" s="284" t="s">
        <v>152</v>
      </c>
      <c r="F81" s="284"/>
      <c r="G81" s="16"/>
    </row>
    <row r="82" spans="1:7" x14ac:dyDescent="0.2">
      <c r="A82" s="292"/>
      <c r="B82" s="282"/>
      <c r="C82" s="285"/>
      <c r="D82" s="284" t="s">
        <v>153</v>
      </c>
      <c r="E82" s="284"/>
      <c r="F82" s="284"/>
      <c r="G82" s="16"/>
    </row>
    <row r="85" spans="1:7" x14ac:dyDescent="0.2">
      <c r="A85" s="291" t="s">
        <v>257</v>
      </c>
      <c r="B85" s="279" t="s">
        <v>94</v>
      </c>
      <c r="C85" s="276"/>
      <c r="D85" s="276"/>
      <c r="E85" s="276"/>
      <c r="F85" s="277"/>
      <c r="G85" s="74" t="s">
        <v>670</v>
      </c>
    </row>
    <row r="86" spans="1:7" x14ac:dyDescent="0.2">
      <c r="A86" s="292"/>
      <c r="B86" s="278" t="s">
        <v>95</v>
      </c>
      <c r="C86" s="66" t="s">
        <v>96</v>
      </c>
      <c r="D86" s="282"/>
      <c r="E86" s="282"/>
      <c r="F86" s="282"/>
      <c r="G86" s="74" t="s">
        <v>202</v>
      </c>
    </row>
    <row r="87" spans="1:7" x14ac:dyDescent="0.2">
      <c r="A87" s="292"/>
      <c r="B87" s="282"/>
      <c r="C87" s="66" t="s">
        <v>97</v>
      </c>
      <c r="D87" s="283"/>
      <c r="E87" s="283"/>
      <c r="F87" s="283"/>
      <c r="G87" s="75" t="s">
        <v>585</v>
      </c>
    </row>
    <row r="88" spans="1:7" x14ac:dyDescent="0.2">
      <c r="A88" s="292"/>
      <c r="B88" s="279" t="s">
        <v>98</v>
      </c>
      <c r="C88" s="276"/>
      <c r="D88" s="276"/>
      <c r="E88" s="276"/>
      <c r="F88" s="277"/>
      <c r="G88" s="75">
        <v>0</v>
      </c>
    </row>
    <row r="89" spans="1:7" x14ac:dyDescent="0.2">
      <c r="A89" s="292"/>
      <c r="B89" s="278" t="s">
        <v>99</v>
      </c>
      <c r="C89" s="66" t="s">
        <v>100</v>
      </c>
      <c r="D89" s="282"/>
      <c r="E89" s="282"/>
      <c r="F89" s="282"/>
      <c r="G89" s="75" t="s">
        <v>585</v>
      </c>
    </row>
    <row r="90" spans="1:7" x14ac:dyDescent="0.2">
      <c r="A90" s="292"/>
      <c r="B90" s="282"/>
      <c r="C90" s="66" t="s">
        <v>101</v>
      </c>
      <c r="D90" s="282"/>
      <c r="E90" s="282"/>
      <c r="F90" s="282"/>
      <c r="G90" s="75" t="s">
        <v>585</v>
      </c>
    </row>
    <row r="91" spans="1:7" x14ac:dyDescent="0.2">
      <c r="A91" s="292"/>
      <c r="B91" s="282"/>
      <c r="C91" s="66" t="s">
        <v>102</v>
      </c>
      <c r="D91" s="282"/>
      <c r="E91" s="282"/>
      <c r="F91" s="282"/>
      <c r="G91" s="75" t="s">
        <v>585</v>
      </c>
    </row>
    <row r="92" spans="1:7" x14ac:dyDescent="0.2">
      <c r="A92" s="292"/>
      <c r="B92" s="279" t="s">
        <v>103</v>
      </c>
      <c r="C92" s="276"/>
      <c r="D92" s="276"/>
      <c r="E92" s="276"/>
      <c r="F92" s="277"/>
      <c r="G92" s="74" t="s">
        <v>202</v>
      </c>
    </row>
    <row r="93" spans="1:7" x14ac:dyDescent="0.2">
      <c r="A93" s="292"/>
      <c r="B93" s="279" t="s">
        <v>104</v>
      </c>
      <c r="C93" s="276"/>
      <c r="D93" s="276"/>
      <c r="E93" s="276"/>
      <c r="F93" s="277"/>
      <c r="G93" s="74" t="s">
        <v>202</v>
      </c>
    </row>
    <row r="94" spans="1:7" x14ac:dyDescent="0.2">
      <c r="A94" s="292"/>
      <c r="B94" s="278" t="s">
        <v>105</v>
      </c>
      <c r="C94" s="279" t="s">
        <v>106</v>
      </c>
      <c r="D94" s="276"/>
      <c r="E94" s="276"/>
      <c r="F94" s="277"/>
      <c r="G94" s="75" t="s">
        <v>585</v>
      </c>
    </row>
    <row r="95" spans="1:7" x14ac:dyDescent="0.2">
      <c r="A95" s="292"/>
      <c r="B95" s="282"/>
      <c r="C95" s="279" t="s">
        <v>107</v>
      </c>
      <c r="D95" s="276"/>
      <c r="E95" s="276"/>
      <c r="F95" s="277"/>
      <c r="G95" s="74" t="s">
        <v>202</v>
      </c>
    </row>
    <row r="96" spans="1:7" x14ac:dyDescent="0.2">
      <c r="A96" s="292"/>
      <c r="B96" s="279" t="s">
        <v>108</v>
      </c>
      <c r="C96" s="276"/>
      <c r="D96" s="276"/>
      <c r="E96" s="276"/>
      <c r="F96" s="277"/>
      <c r="G96" s="75" t="s">
        <v>612</v>
      </c>
    </row>
    <row r="97" spans="1:7" x14ac:dyDescent="0.2">
      <c r="A97" s="292"/>
      <c r="B97" s="279" t="s">
        <v>109</v>
      </c>
      <c r="C97" s="276"/>
      <c r="D97" s="276"/>
      <c r="E97" s="276"/>
      <c r="F97" s="277"/>
      <c r="G97" s="74">
        <v>20</v>
      </c>
    </row>
    <row r="98" spans="1:7" x14ac:dyDescent="0.2">
      <c r="A98" s="292"/>
      <c r="B98" s="278" t="s">
        <v>110</v>
      </c>
      <c r="C98" s="278" t="s">
        <v>111</v>
      </c>
      <c r="D98" s="279" t="s">
        <v>1</v>
      </c>
      <c r="E98" s="276"/>
      <c r="F98" s="277"/>
      <c r="G98" s="74" t="s">
        <v>613</v>
      </c>
    </row>
    <row r="99" spans="1:7" x14ac:dyDescent="0.2">
      <c r="A99" s="292"/>
      <c r="B99" s="282"/>
      <c r="C99" s="282"/>
      <c r="D99" s="279" t="s">
        <v>112</v>
      </c>
      <c r="E99" s="276"/>
      <c r="F99" s="277"/>
      <c r="G99" s="74">
        <v>2</v>
      </c>
    </row>
    <row r="100" spans="1:7" x14ac:dyDescent="0.2">
      <c r="A100" s="292"/>
      <c r="B100" s="282"/>
      <c r="C100" s="282"/>
      <c r="D100" s="279" t="s">
        <v>113</v>
      </c>
      <c r="E100" s="276"/>
      <c r="F100" s="277"/>
      <c r="G100" s="74">
        <v>1</v>
      </c>
    </row>
    <row r="101" spans="1:7" x14ac:dyDescent="0.2">
      <c r="A101" s="292"/>
      <c r="B101" s="282"/>
      <c r="C101" s="282"/>
      <c r="D101" s="279" t="s">
        <v>114</v>
      </c>
      <c r="E101" s="276"/>
      <c r="F101" s="277"/>
      <c r="G101" s="74">
        <v>2</v>
      </c>
    </row>
    <row r="102" spans="1:7" x14ac:dyDescent="0.2">
      <c r="A102" s="292"/>
      <c r="B102" s="282"/>
      <c r="C102" s="282"/>
      <c r="D102" s="278" t="s">
        <v>115</v>
      </c>
      <c r="E102" s="278" t="s">
        <v>116</v>
      </c>
      <c r="F102" s="278"/>
      <c r="G102" s="75" t="s">
        <v>585</v>
      </c>
    </row>
    <row r="103" spans="1:7" x14ac:dyDescent="0.2">
      <c r="A103" s="292"/>
      <c r="B103" s="282"/>
      <c r="C103" s="282"/>
      <c r="D103" s="282"/>
      <c r="E103" s="278" t="s">
        <v>117</v>
      </c>
      <c r="F103" s="278"/>
      <c r="G103" s="74" t="s">
        <v>202</v>
      </c>
    </row>
    <row r="104" spans="1:7" x14ac:dyDescent="0.2">
      <c r="A104" s="292"/>
      <c r="B104" s="282"/>
      <c r="C104" s="282"/>
      <c r="D104" s="278" t="s">
        <v>118</v>
      </c>
      <c r="E104" s="278" t="s">
        <v>119</v>
      </c>
      <c r="F104" s="278"/>
      <c r="G104" s="74" t="s">
        <v>202</v>
      </c>
    </row>
    <row r="105" spans="1:7" x14ac:dyDescent="0.2">
      <c r="A105" s="292"/>
      <c r="B105" s="282"/>
      <c r="C105" s="282"/>
      <c r="D105" s="282"/>
      <c r="E105" s="278" t="s">
        <v>120</v>
      </c>
      <c r="F105" s="278"/>
      <c r="G105" s="75" t="s">
        <v>585</v>
      </c>
    </row>
    <row r="106" spans="1:7" x14ac:dyDescent="0.2">
      <c r="A106" s="292"/>
      <c r="B106" s="282"/>
      <c r="C106" s="282"/>
      <c r="D106" s="278" t="s">
        <v>121</v>
      </c>
      <c r="E106" s="278"/>
      <c r="F106" s="278"/>
      <c r="G106" s="74">
        <v>0</v>
      </c>
    </row>
    <row r="107" spans="1:7" x14ac:dyDescent="0.2">
      <c r="A107" s="292"/>
      <c r="B107" s="282"/>
      <c r="C107" s="282"/>
      <c r="D107" s="278" t="s">
        <v>122</v>
      </c>
      <c r="E107" s="278"/>
      <c r="F107" s="278"/>
      <c r="G107" s="74">
        <v>80</v>
      </c>
    </row>
    <row r="108" spans="1:7" x14ac:dyDescent="0.2">
      <c r="A108" s="292"/>
      <c r="B108" s="282"/>
      <c r="C108" s="282"/>
      <c r="D108" s="278" t="s">
        <v>123</v>
      </c>
      <c r="E108" s="278"/>
      <c r="F108" s="278"/>
      <c r="G108" s="76" t="s">
        <v>257</v>
      </c>
    </row>
    <row r="109" spans="1:7" x14ac:dyDescent="0.2">
      <c r="A109" s="292"/>
      <c r="B109" s="282"/>
      <c r="C109" s="288" t="s">
        <v>128</v>
      </c>
      <c r="D109" s="278" t="s">
        <v>1</v>
      </c>
      <c r="E109" s="278"/>
      <c r="F109" s="278"/>
      <c r="G109" s="74" t="s">
        <v>616</v>
      </c>
    </row>
    <row r="110" spans="1:7" x14ac:dyDescent="0.2">
      <c r="A110" s="292"/>
      <c r="B110" s="282"/>
      <c r="C110" s="289"/>
      <c r="D110" s="278" t="s">
        <v>129</v>
      </c>
      <c r="E110" s="278"/>
      <c r="F110" s="278"/>
      <c r="G110" s="74">
        <v>1</v>
      </c>
    </row>
    <row r="111" spans="1:7" x14ac:dyDescent="0.2">
      <c r="A111" s="292"/>
      <c r="B111" s="282"/>
      <c r="C111" s="289"/>
      <c r="D111" s="278" t="s">
        <v>130</v>
      </c>
      <c r="E111" s="278"/>
      <c r="F111" s="278"/>
      <c r="G111" s="74">
        <v>3</v>
      </c>
    </row>
    <row r="112" spans="1:7" x14ac:dyDescent="0.2">
      <c r="A112" s="292"/>
      <c r="B112" s="282"/>
      <c r="C112" s="289"/>
      <c r="D112" s="278" t="s">
        <v>131</v>
      </c>
      <c r="E112" s="278" t="s">
        <v>132</v>
      </c>
      <c r="F112" s="278"/>
      <c r="G112" s="74" t="s">
        <v>202</v>
      </c>
    </row>
    <row r="113" spans="1:7" x14ac:dyDescent="0.2">
      <c r="A113" s="292"/>
      <c r="B113" s="282"/>
      <c r="C113" s="289"/>
      <c r="D113" s="282"/>
      <c r="E113" s="278" t="s">
        <v>133</v>
      </c>
      <c r="F113" s="278"/>
      <c r="G113" s="75" t="s">
        <v>585</v>
      </c>
    </row>
    <row r="114" spans="1:7" x14ac:dyDescent="0.2">
      <c r="A114" s="292"/>
      <c r="B114" s="282"/>
      <c r="C114" s="289"/>
      <c r="D114" s="278" t="s">
        <v>134</v>
      </c>
      <c r="E114" s="278" t="s">
        <v>135</v>
      </c>
      <c r="F114" s="278"/>
      <c r="G114" s="74" t="s">
        <v>202</v>
      </c>
    </row>
    <row r="115" spans="1:7" x14ac:dyDescent="0.2">
      <c r="A115" s="292"/>
      <c r="B115" s="282"/>
      <c r="C115" s="289"/>
      <c r="D115" s="282"/>
      <c r="E115" s="278" t="s">
        <v>136</v>
      </c>
      <c r="F115" s="278"/>
      <c r="G115" s="75" t="s">
        <v>585</v>
      </c>
    </row>
    <row r="116" spans="1:7" x14ac:dyDescent="0.2">
      <c r="A116" s="292"/>
      <c r="B116" s="282"/>
      <c r="C116" s="289"/>
      <c r="D116" s="282"/>
      <c r="E116" s="278" t="s">
        <v>137</v>
      </c>
      <c r="F116" s="278"/>
      <c r="G116" s="75" t="s">
        <v>585</v>
      </c>
    </row>
    <row r="117" spans="1:7" x14ac:dyDescent="0.2">
      <c r="A117" s="292"/>
      <c r="B117" s="282"/>
      <c r="C117" s="289"/>
      <c r="D117" s="293" t="s">
        <v>617</v>
      </c>
      <c r="E117" s="278" t="s">
        <v>139</v>
      </c>
      <c r="F117" s="66" t="s">
        <v>140</v>
      </c>
      <c r="G117" s="74">
        <v>65</v>
      </c>
    </row>
    <row r="118" spans="1:7" x14ac:dyDescent="0.2">
      <c r="A118" s="292"/>
      <c r="B118" s="282"/>
      <c r="C118" s="289"/>
      <c r="D118" s="294"/>
      <c r="E118" s="282"/>
      <c r="F118" s="66" t="s">
        <v>141</v>
      </c>
      <c r="G118" s="74">
        <v>55</v>
      </c>
    </row>
    <row r="119" spans="1:7" x14ac:dyDescent="0.2">
      <c r="A119" s="292"/>
      <c r="B119" s="282"/>
      <c r="C119" s="289"/>
      <c r="D119" s="294"/>
      <c r="E119" s="282"/>
      <c r="F119" s="66" t="s">
        <v>142</v>
      </c>
      <c r="G119" s="74">
        <v>10</v>
      </c>
    </row>
    <row r="120" spans="1:7" x14ac:dyDescent="0.2">
      <c r="A120" s="292"/>
      <c r="B120" s="282"/>
      <c r="C120" s="289"/>
      <c r="D120" s="294"/>
      <c r="E120" s="282"/>
      <c r="F120" s="66" t="s">
        <v>143</v>
      </c>
      <c r="G120" s="74">
        <v>0</v>
      </c>
    </row>
    <row r="121" spans="1:7" x14ac:dyDescent="0.2">
      <c r="A121" s="292"/>
      <c r="B121" s="282"/>
      <c r="C121" s="289"/>
      <c r="D121" s="294"/>
      <c r="E121" s="278" t="s">
        <v>139</v>
      </c>
      <c r="F121" s="66" t="s">
        <v>140</v>
      </c>
      <c r="G121" s="74">
        <v>55</v>
      </c>
    </row>
    <row r="122" spans="1:7" x14ac:dyDescent="0.2">
      <c r="A122" s="292"/>
      <c r="B122" s="282"/>
      <c r="C122" s="289"/>
      <c r="D122" s="294"/>
      <c r="E122" s="282"/>
      <c r="F122" s="66" t="s">
        <v>141</v>
      </c>
      <c r="G122" s="74">
        <v>45</v>
      </c>
    </row>
    <row r="123" spans="1:7" x14ac:dyDescent="0.2">
      <c r="A123" s="292"/>
      <c r="B123" s="282"/>
      <c r="C123" s="289"/>
      <c r="D123" s="294"/>
      <c r="E123" s="282"/>
      <c r="F123" s="66" t="s">
        <v>142</v>
      </c>
      <c r="G123" s="74">
        <v>10</v>
      </c>
    </row>
    <row r="124" spans="1:7" x14ac:dyDescent="0.2">
      <c r="A124" s="292"/>
      <c r="B124" s="282"/>
      <c r="C124" s="289"/>
      <c r="D124" s="294"/>
      <c r="E124" s="282"/>
      <c r="F124" s="66" t="s">
        <v>143</v>
      </c>
      <c r="G124" s="74">
        <v>0</v>
      </c>
    </row>
    <row r="125" spans="1:7" x14ac:dyDescent="0.2">
      <c r="A125" s="292"/>
      <c r="B125" s="282"/>
      <c r="C125" s="289"/>
      <c r="D125" s="294"/>
      <c r="E125" s="278" t="s">
        <v>139</v>
      </c>
      <c r="F125" s="66" t="s">
        <v>140</v>
      </c>
      <c r="G125" s="74">
        <v>45</v>
      </c>
    </row>
    <row r="126" spans="1:7" x14ac:dyDescent="0.2">
      <c r="A126" s="292"/>
      <c r="B126" s="282"/>
      <c r="C126" s="289"/>
      <c r="D126" s="294"/>
      <c r="E126" s="282"/>
      <c r="F126" s="66" t="s">
        <v>141</v>
      </c>
      <c r="G126" s="74">
        <v>35</v>
      </c>
    </row>
    <row r="127" spans="1:7" x14ac:dyDescent="0.2">
      <c r="A127" s="292"/>
      <c r="B127" s="282"/>
      <c r="C127" s="289"/>
      <c r="D127" s="294"/>
      <c r="E127" s="282"/>
      <c r="F127" s="66" t="s">
        <v>142</v>
      </c>
      <c r="G127" s="74">
        <v>10</v>
      </c>
    </row>
    <row r="128" spans="1:7" x14ac:dyDescent="0.2">
      <c r="A128" s="292"/>
      <c r="B128" s="282"/>
      <c r="C128" s="289"/>
      <c r="D128" s="294"/>
      <c r="E128" s="282"/>
      <c r="F128" s="66" t="s">
        <v>143</v>
      </c>
      <c r="G128" s="74">
        <v>0</v>
      </c>
    </row>
    <row r="129" spans="1:9" x14ac:dyDescent="0.2">
      <c r="A129" s="292"/>
      <c r="B129" s="282"/>
      <c r="C129" s="289"/>
      <c r="D129" s="294"/>
      <c r="E129" s="278" t="s">
        <v>139</v>
      </c>
      <c r="F129" s="66" t="s">
        <v>140</v>
      </c>
      <c r="G129" s="74">
        <v>35</v>
      </c>
    </row>
    <row r="130" spans="1:9" x14ac:dyDescent="0.2">
      <c r="A130" s="292"/>
      <c r="B130" s="282"/>
      <c r="C130" s="289"/>
      <c r="D130" s="294"/>
      <c r="E130" s="282"/>
      <c r="F130" s="66" t="s">
        <v>141</v>
      </c>
      <c r="G130" s="74">
        <v>25</v>
      </c>
    </row>
    <row r="131" spans="1:9" x14ac:dyDescent="0.2">
      <c r="A131" s="292"/>
      <c r="B131" s="282"/>
      <c r="C131" s="289"/>
      <c r="D131" s="294"/>
      <c r="E131" s="282"/>
      <c r="F131" s="66" t="s">
        <v>142</v>
      </c>
      <c r="G131" s="74">
        <v>10</v>
      </c>
    </row>
    <row r="132" spans="1:9" x14ac:dyDescent="0.2">
      <c r="A132" s="292"/>
      <c r="B132" s="282"/>
      <c r="C132" s="289"/>
      <c r="D132" s="294"/>
      <c r="E132" s="282"/>
      <c r="F132" s="66" t="s">
        <v>143</v>
      </c>
      <c r="G132" s="74">
        <v>0</v>
      </c>
    </row>
    <row r="133" spans="1:9" x14ac:dyDescent="0.2">
      <c r="A133" s="292"/>
      <c r="B133" s="282"/>
      <c r="C133" s="289"/>
      <c r="D133" s="294"/>
      <c r="E133" s="278" t="s">
        <v>139</v>
      </c>
      <c r="F133" s="66" t="s">
        <v>140</v>
      </c>
      <c r="G133" s="74">
        <v>25</v>
      </c>
    </row>
    <row r="134" spans="1:9" x14ac:dyDescent="0.2">
      <c r="A134" s="292"/>
      <c r="B134" s="282"/>
      <c r="C134" s="289"/>
      <c r="D134" s="294"/>
      <c r="E134" s="282"/>
      <c r="F134" s="66" t="s">
        <v>141</v>
      </c>
      <c r="G134" s="74">
        <v>15</v>
      </c>
    </row>
    <row r="135" spans="1:9" x14ac:dyDescent="0.2">
      <c r="A135" s="292"/>
      <c r="B135" s="282"/>
      <c r="C135" s="289"/>
      <c r="D135" s="294"/>
      <c r="E135" s="282"/>
      <c r="F135" s="66" t="s">
        <v>142</v>
      </c>
      <c r="G135" s="74">
        <v>10</v>
      </c>
    </row>
    <row r="136" spans="1:9" x14ac:dyDescent="0.2">
      <c r="A136" s="292"/>
      <c r="B136" s="282"/>
      <c r="C136" s="289"/>
      <c r="D136" s="294"/>
      <c r="E136" s="282"/>
      <c r="F136" s="66" t="s">
        <v>143</v>
      </c>
      <c r="G136" s="74">
        <v>0</v>
      </c>
    </row>
    <row r="137" spans="1:9" x14ac:dyDescent="0.2">
      <c r="A137" s="292"/>
      <c r="B137" s="282"/>
      <c r="C137" s="289"/>
      <c r="D137" s="294"/>
      <c r="E137" s="278" t="s">
        <v>139</v>
      </c>
      <c r="F137" s="66" t="s">
        <v>140</v>
      </c>
      <c r="G137" s="74">
        <v>15</v>
      </c>
    </row>
    <row r="138" spans="1:9" x14ac:dyDescent="0.2">
      <c r="A138" s="292"/>
      <c r="B138" s="282"/>
      <c r="C138" s="289"/>
      <c r="D138" s="294"/>
      <c r="E138" s="282"/>
      <c r="F138" s="66" t="s">
        <v>141</v>
      </c>
      <c r="G138" s="74">
        <v>5</v>
      </c>
    </row>
    <row r="139" spans="1:9" x14ac:dyDescent="0.2">
      <c r="A139" s="292"/>
      <c r="B139" s="282"/>
      <c r="C139" s="289"/>
      <c r="D139" s="294"/>
      <c r="E139" s="282"/>
      <c r="F139" s="66" t="s">
        <v>142</v>
      </c>
      <c r="G139" s="74">
        <v>10</v>
      </c>
    </row>
    <row r="140" spans="1:9" x14ac:dyDescent="0.2">
      <c r="A140" s="292"/>
      <c r="B140" s="282"/>
      <c r="C140" s="290"/>
      <c r="D140" s="295"/>
      <c r="E140" s="282"/>
      <c r="F140" s="66" t="s">
        <v>143</v>
      </c>
      <c r="G140" s="74">
        <v>0</v>
      </c>
    </row>
    <row r="143" spans="1:9" s="68" customFormat="1" x14ac:dyDescent="0.2">
      <c r="A143" s="291" t="s">
        <v>259</v>
      </c>
      <c r="B143" s="279" t="s">
        <v>94</v>
      </c>
      <c r="C143" s="276"/>
      <c r="D143" s="276"/>
      <c r="E143" s="276"/>
      <c r="F143" s="277"/>
      <c r="G143" s="74" t="s">
        <v>670</v>
      </c>
      <c r="H143" s="34"/>
      <c r="I143" s="34"/>
    </row>
    <row r="144" spans="1:9" s="68" customFormat="1" x14ac:dyDescent="0.2">
      <c r="A144" s="292"/>
      <c r="B144" s="278" t="s">
        <v>95</v>
      </c>
      <c r="C144" s="66" t="s">
        <v>96</v>
      </c>
      <c r="D144" s="282"/>
      <c r="E144" s="282"/>
      <c r="F144" s="282"/>
      <c r="G144" s="74" t="s">
        <v>202</v>
      </c>
      <c r="H144" s="34"/>
      <c r="I144" s="34"/>
    </row>
    <row r="145" spans="1:9" s="68" customFormat="1" x14ac:dyDescent="0.2">
      <c r="A145" s="292"/>
      <c r="B145" s="282"/>
      <c r="C145" s="66" t="s">
        <v>97</v>
      </c>
      <c r="D145" s="283"/>
      <c r="E145" s="283"/>
      <c r="F145" s="283"/>
      <c r="G145" s="75" t="s">
        <v>585</v>
      </c>
      <c r="H145" s="34"/>
      <c r="I145" s="34"/>
    </row>
    <row r="146" spans="1:9" s="68" customFormat="1" x14ac:dyDescent="0.2">
      <c r="A146" s="292"/>
      <c r="B146" s="279" t="s">
        <v>98</v>
      </c>
      <c r="C146" s="276"/>
      <c r="D146" s="276"/>
      <c r="E146" s="276"/>
      <c r="F146" s="277"/>
      <c r="G146" s="75">
        <v>0</v>
      </c>
      <c r="H146" s="34"/>
      <c r="I146" s="34"/>
    </row>
    <row r="147" spans="1:9" s="68" customFormat="1" x14ac:dyDescent="0.2">
      <c r="A147" s="292"/>
      <c r="B147" s="278" t="s">
        <v>99</v>
      </c>
      <c r="C147" s="66" t="s">
        <v>100</v>
      </c>
      <c r="D147" s="282"/>
      <c r="E147" s="282"/>
      <c r="F147" s="282"/>
      <c r="G147" s="75" t="s">
        <v>585</v>
      </c>
      <c r="H147" s="34"/>
      <c r="I147" s="34"/>
    </row>
    <row r="148" spans="1:9" s="68" customFormat="1" x14ac:dyDescent="0.2">
      <c r="A148" s="292"/>
      <c r="B148" s="282"/>
      <c r="C148" s="66" t="s">
        <v>101</v>
      </c>
      <c r="D148" s="282"/>
      <c r="E148" s="282"/>
      <c r="F148" s="282"/>
      <c r="G148" s="75" t="s">
        <v>585</v>
      </c>
      <c r="H148" s="34"/>
      <c r="I148" s="34"/>
    </row>
    <row r="149" spans="1:9" s="68" customFormat="1" x14ac:dyDescent="0.2">
      <c r="A149" s="292"/>
      <c r="B149" s="282"/>
      <c r="C149" s="66" t="s">
        <v>102</v>
      </c>
      <c r="D149" s="282"/>
      <c r="E149" s="282"/>
      <c r="F149" s="282"/>
      <c r="G149" s="75" t="s">
        <v>585</v>
      </c>
      <c r="H149" s="34"/>
      <c r="I149" s="34"/>
    </row>
    <row r="150" spans="1:9" s="68" customFormat="1" x14ac:dyDescent="0.2">
      <c r="A150" s="292"/>
      <c r="B150" s="279" t="s">
        <v>103</v>
      </c>
      <c r="C150" s="276"/>
      <c r="D150" s="276"/>
      <c r="E150" s="276"/>
      <c r="F150" s="277"/>
      <c r="G150" s="74" t="s">
        <v>202</v>
      </c>
      <c r="H150" s="34"/>
      <c r="I150" s="34"/>
    </row>
    <row r="151" spans="1:9" s="68" customFormat="1" x14ac:dyDescent="0.2">
      <c r="A151" s="292"/>
      <c r="B151" s="279" t="s">
        <v>104</v>
      </c>
      <c r="C151" s="276"/>
      <c r="D151" s="276"/>
      <c r="E151" s="276"/>
      <c r="F151" s="277"/>
      <c r="G151" s="74" t="s">
        <v>202</v>
      </c>
      <c r="H151" s="34"/>
      <c r="I151" s="34"/>
    </row>
    <row r="152" spans="1:9" s="68" customFormat="1" x14ac:dyDescent="0.2">
      <c r="A152" s="292"/>
      <c r="B152" s="278" t="s">
        <v>105</v>
      </c>
      <c r="C152" s="279" t="s">
        <v>106</v>
      </c>
      <c r="D152" s="276"/>
      <c r="E152" s="276"/>
      <c r="F152" s="277"/>
      <c r="G152" s="75" t="s">
        <v>585</v>
      </c>
      <c r="H152" s="34"/>
      <c r="I152" s="34"/>
    </row>
    <row r="153" spans="1:9" s="68" customFormat="1" x14ac:dyDescent="0.2">
      <c r="A153" s="292"/>
      <c r="B153" s="282"/>
      <c r="C153" s="279" t="s">
        <v>107</v>
      </c>
      <c r="D153" s="276"/>
      <c r="E153" s="276"/>
      <c r="F153" s="277"/>
      <c r="G153" s="74" t="s">
        <v>202</v>
      </c>
      <c r="H153" s="34"/>
      <c r="I153" s="34"/>
    </row>
    <row r="154" spans="1:9" s="68" customFormat="1" x14ac:dyDescent="0.2">
      <c r="A154" s="292"/>
      <c r="B154" s="279" t="s">
        <v>108</v>
      </c>
      <c r="C154" s="276"/>
      <c r="D154" s="276"/>
      <c r="E154" s="276"/>
      <c r="F154" s="277"/>
      <c r="G154" s="75" t="s">
        <v>612</v>
      </c>
      <c r="H154" s="34"/>
      <c r="I154" s="34"/>
    </row>
    <row r="155" spans="1:9" s="68" customFormat="1" x14ac:dyDescent="0.2">
      <c r="A155" s="292"/>
      <c r="B155" s="279" t="s">
        <v>109</v>
      </c>
      <c r="C155" s="276"/>
      <c r="D155" s="276"/>
      <c r="E155" s="276"/>
      <c r="F155" s="277"/>
      <c r="G155" s="74">
        <v>20</v>
      </c>
      <c r="H155" s="34"/>
      <c r="I155" s="34"/>
    </row>
    <row r="156" spans="1:9" s="68" customFormat="1" x14ac:dyDescent="0.2">
      <c r="A156" s="292"/>
      <c r="B156" s="278" t="s">
        <v>110</v>
      </c>
      <c r="C156" s="278" t="s">
        <v>111</v>
      </c>
      <c r="D156" s="279" t="s">
        <v>1</v>
      </c>
      <c r="E156" s="276"/>
      <c r="F156" s="277"/>
      <c r="G156" s="74" t="s">
        <v>613</v>
      </c>
      <c r="H156" s="34"/>
      <c r="I156" s="34"/>
    </row>
    <row r="157" spans="1:9" s="68" customFormat="1" x14ac:dyDescent="0.2">
      <c r="A157" s="292"/>
      <c r="B157" s="282"/>
      <c r="C157" s="282"/>
      <c r="D157" s="279" t="s">
        <v>112</v>
      </c>
      <c r="E157" s="276"/>
      <c r="F157" s="277"/>
      <c r="G157" s="74">
        <v>2</v>
      </c>
      <c r="H157" s="34"/>
      <c r="I157" s="34"/>
    </row>
    <row r="158" spans="1:9" s="68" customFormat="1" x14ac:dyDescent="0.2">
      <c r="A158" s="292"/>
      <c r="B158" s="282"/>
      <c r="C158" s="282"/>
      <c r="D158" s="279" t="s">
        <v>113</v>
      </c>
      <c r="E158" s="276"/>
      <c r="F158" s="277"/>
      <c r="G158" s="74">
        <v>1</v>
      </c>
      <c r="H158" s="34"/>
      <c r="I158" s="34"/>
    </row>
    <row r="159" spans="1:9" s="68" customFormat="1" x14ac:dyDescent="0.2">
      <c r="A159" s="292"/>
      <c r="B159" s="282"/>
      <c r="C159" s="282"/>
      <c r="D159" s="279" t="s">
        <v>114</v>
      </c>
      <c r="E159" s="276"/>
      <c r="F159" s="277"/>
      <c r="G159" s="74">
        <v>2</v>
      </c>
      <c r="H159" s="34"/>
      <c r="I159" s="34"/>
    </row>
    <row r="160" spans="1:9" s="68" customFormat="1" x14ac:dyDescent="0.2">
      <c r="A160" s="292"/>
      <c r="B160" s="282"/>
      <c r="C160" s="282"/>
      <c r="D160" s="278" t="s">
        <v>115</v>
      </c>
      <c r="E160" s="278" t="s">
        <v>116</v>
      </c>
      <c r="F160" s="278"/>
      <c r="G160" s="75" t="s">
        <v>585</v>
      </c>
      <c r="H160" s="34"/>
      <c r="I160" s="34"/>
    </row>
    <row r="161" spans="1:9" s="68" customFormat="1" x14ac:dyDescent="0.2">
      <c r="A161" s="292"/>
      <c r="B161" s="282"/>
      <c r="C161" s="282"/>
      <c r="D161" s="282"/>
      <c r="E161" s="278" t="s">
        <v>117</v>
      </c>
      <c r="F161" s="278"/>
      <c r="G161" s="74" t="s">
        <v>202</v>
      </c>
      <c r="H161" s="34"/>
      <c r="I161" s="34"/>
    </row>
    <row r="162" spans="1:9" s="68" customFormat="1" x14ac:dyDescent="0.2">
      <c r="A162" s="292"/>
      <c r="B162" s="282"/>
      <c r="C162" s="282"/>
      <c r="D162" s="278" t="s">
        <v>118</v>
      </c>
      <c r="E162" s="278" t="s">
        <v>119</v>
      </c>
      <c r="F162" s="278"/>
      <c r="G162" s="74" t="s">
        <v>202</v>
      </c>
      <c r="H162" s="34"/>
      <c r="I162" s="34"/>
    </row>
    <row r="163" spans="1:9" s="68" customFormat="1" x14ac:dyDescent="0.2">
      <c r="A163" s="292"/>
      <c r="B163" s="282"/>
      <c r="C163" s="282"/>
      <c r="D163" s="282"/>
      <c r="E163" s="278" t="s">
        <v>120</v>
      </c>
      <c r="F163" s="278"/>
      <c r="G163" s="75" t="s">
        <v>585</v>
      </c>
      <c r="H163" s="34"/>
      <c r="I163" s="34"/>
    </row>
    <row r="164" spans="1:9" s="68" customFormat="1" x14ac:dyDescent="0.2">
      <c r="A164" s="292"/>
      <c r="B164" s="282"/>
      <c r="C164" s="282"/>
      <c r="D164" s="278" t="s">
        <v>121</v>
      </c>
      <c r="E164" s="278"/>
      <c r="F164" s="278"/>
      <c r="G164" s="74">
        <v>0</v>
      </c>
      <c r="H164" s="34"/>
      <c r="I164" s="34"/>
    </row>
    <row r="165" spans="1:9" s="68" customFormat="1" x14ac:dyDescent="0.2">
      <c r="A165" s="292"/>
      <c r="B165" s="282"/>
      <c r="C165" s="282"/>
      <c r="D165" s="278" t="s">
        <v>122</v>
      </c>
      <c r="E165" s="278"/>
      <c r="F165" s="278"/>
      <c r="G165" s="74">
        <v>100</v>
      </c>
      <c r="H165" s="34"/>
      <c r="I165" s="34"/>
    </row>
    <row r="166" spans="1:9" s="68" customFormat="1" x14ac:dyDescent="0.2">
      <c r="A166" s="292"/>
      <c r="B166" s="282"/>
      <c r="C166" s="282"/>
      <c r="D166" s="278" t="s">
        <v>123</v>
      </c>
      <c r="E166" s="278"/>
      <c r="F166" s="278"/>
      <c r="G166" s="76" t="s">
        <v>259</v>
      </c>
      <c r="H166" s="34"/>
      <c r="I166" s="34"/>
    </row>
    <row r="167" spans="1:9" s="68" customFormat="1" x14ac:dyDescent="0.2">
      <c r="A167" s="292"/>
      <c r="B167" s="282"/>
      <c r="C167" s="288" t="s">
        <v>128</v>
      </c>
      <c r="D167" s="278" t="s">
        <v>1</v>
      </c>
      <c r="E167" s="278"/>
      <c r="F167" s="278"/>
      <c r="G167" s="74" t="s">
        <v>616</v>
      </c>
      <c r="H167" s="34"/>
      <c r="I167" s="34"/>
    </row>
    <row r="168" spans="1:9" s="68" customFormat="1" x14ac:dyDescent="0.2">
      <c r="A168" s="292"/>
      <c r="B168" s="282"/>
      <c r="C168" s="289"/>
      <c r="D168" s="278" t="s">
        <v>129</v>
      </c>
      <c r="E168" s="278"/>
      <c r="F168" s="278"/>
      <c r="G168" s="74">
        <v>1</v>
      </c>
      <c r="H168" s="34"/>
      <c r="I168" s="34"/>
    </row>
    <row r="169" spans="1:9" s="68" customFormat="1" x14ac:dyDescent="0.2">
      <c r="A169" s="292"/>
      <c r="B169" s="282"/>
      <c r="C169" s="289"/>
      <c r="D169" s="278" t="s">
        <v>130</v>
      </c>
      <c r="E169" s="278"/>
      <c r="F169" s="278"/>
      <c r="G169" s="74">
        <v>3</v>
      </c>
      <c r="H169" s="34"/>
      <c r="I169" s="34"/>
    </row>
    <row r="170" spans="1:9" s="68" customFormat="1" x14ac:dyDescent="0.2">
      <c r="A170" s="292"/>
      <c r="B170" s="282"/>
      <c r="C170" s="289"/>
      <c r="D170" s="278" t="s">
        <v>131</v>
      </c>
      <c r="E170" s="278" t="s">
        <v>132</v>
      </c>
      <c r="F170" s="278"/>
      <c r="G170" s="74" t="s">
        <v>202</v>
      </c>
      <c r="H170" s="34"/>
      <c r="I170" s="34"/>
    </row>
    <row r="171" spans="1:9" s="68" customFormat="1" x14ac:dyDescent="0.2">
      <c r="A171" s="292"/>
      <c r="B171" s="282"/>
      <c r="C171" s="289"/>
      <c r="D171" s="282"/>
      <c r="E171" s="278" t="s">
        <v>133</v>
      </c>
      <c r="F171" s="278"/>
      <c r="G171" s="75" t="s">
        <v>585</v>
      </c>
      <c r="H171" s="34"/>
      <c r="I171" s="34"/>
    </row>
    <row r="172" spans="1:9" s="68" customFormat="1" x14ac:dyDescent="0.2">
      <c r="A172" s="292"/>
      <c r="B172" s="282"/>
      <c r="C172" s="289"/>
      <c r="D172" s="278" t="s">
        <v>134</v>
      </c>
      <c r="E172" s="278" t="s">
        <v>135</v>
      </c>
      <c r="F172" s="278"/>
      <c r="G172" s="74" t="s">
        <v>202</v>
      </c>
      <c r="H172" s="34"/>
      <c r="I172" s="34"/>
    </row>
    <row r="173" spans="1:9" s="68" customFormat="1" x14ac:dyDescent="0.2">
      <c r="A173" s="292"/>
      <c r="B173" s="282"/>
      <c r="C173" s="289"/>
      <c r="D173" s="282"/>
      <c r="E173" s="278" t="s">
        <v>136</v>
      </c>
      <c r="F173" s="278"/>
      <c r="G173" s="75" t="s">
        <v>585</v>
      </c>
      <c r="H173" s="34"/>
      <c r="I173" s="34"/>
    </row>
    <row r="174" spans="1:9" s="68" customFormat="1" x14ac:dyDescent="0.2">
      <c r="A174" s="292"/>
      <c r="B174" s="282"/>
      <c r="C174" s="289"/>
      <c r="D174" s="282"/>
      <c r="E174" s="278" t="s">
        <v>137</v>
      </c>
      <c r="F174" s="278"/>
      <c r="G174" s="75" t="s">
        <v>585</v>
      </c>
      <c r="H174" s="34"/>
      <c r="I174" s="34"/>
    </row>
    <row r="175" spans="1:9" s="68" customFormat="1" x14ac:dyDescent="0.2">
      <c r="A175" s="292"/>
      <c r="B175" s="282"/>
      <c r="C175" s="289"/>
      <c r="D175" s="293" t="s">
        <v>617</v>
      </c>
      <c r="E175" s="278" t="s">
        <v>139</v>
      </c>
      <c r="F175" s="66" t="s">
        <v>140</v>
      </c>
      <c r="G175" s="74">
        <v>65</v>
      </c>
      <c r="H175" s="34"/>
      <c r="I175" s="34"/>
    </row>
    <row r="176" spans="1:9" s="68" customFormat="1" x14ac:dyDescent="0.2">
      <c r="A176" s="292"/>
      <c r="B176" s="282"/>
      <c r="C176" s="289"/>
      <c r="D176" s="294"/>
      <c r="E176" s="282"/>
      <c r="F176" s="66" t="s">
        <v>141</v>
      </c>
      <c r="G176" s="74">
        <v>55</v>
      </c>
      <c r="H176" s="34"/>
      <c r="I176" s="34"/>
    </row>
    <row r="177" spans="1:9" s="68" customFormat="1" x14ac:dyDescent="0.2">
      <c r="A177" s="292"/>
      <c r="B177" s="282"/>
      <c r="C177" s="289"/>
      <c r="D177" s="294"/>
      <c r="E177" s="282"/>
      <c r="F177" s="66" t="s">
        <v>142</v>
      </c>
      <c r="G177" s="74">
        <v>10</v>
      </c>
      <c r="H177" s="34"/>
      <c r="I177" s="34"/>
    </row>
    <row r="178" spans="1:9" s="68" customFormat="1" x14ac:dyDescent="0.2">
      <c r="A178" s="292"/>
      <c r="B178" s="282"/>
      <c r="C178" s="289"/>
      <c r="D178" s="294"/>
      <c r="E178" s="282"/>
      <c r="F178" s="66" t="s">
        <v>143</v>
      </c>
      <c r="G178" s="74">
        <v>0</v>
      </c>
      <c r="H178" s="34"/>
      <c r="I178" s="34"/>
    </row>
    <row r="179" spans="1:9" s="68" customFormat="1" x14ac:dyDescent="0.2">
      <c r="A179" s="292"/>
      <c r="B179" s="282"/>
      <c r="C179" s="289"/>
      <c r="D179" s="294"/>
      <c r="E179" s="278" t="s">
        <v>139</v>
      </c>
      <c r="F179" s="66" t="s">
        <v>140</v>
      </c>
      <c r="G179" s="74">
        <v>55</v>
      </c>
      <c r="H179" s="34"/>
      <c r="I179" s="34"/>
    </row>
    <row r="180" spans="1:9" s="68" customFormat="1" x14ac:dyDescent="0.2">
      <c r="A180" s="292"/>
      <c r="B180" s="282"/>
      <c r="C180" s="289"/>
      <c r="D180" s="294"/>
      <c r="E180" s="282"/>
      <c r="F180" s="66" t="s">
        <v>141</v>
      </c>
      <c r="G180" s="74">
        <v>45</v>
      </c>
      <c r="H180" s="34"/>
      <c r="I180" s="34"/>
    </row>
    <row r="181" spans="1:9" s="68" customFormat="1" x14ac:dyDescent="0.2">
      <c r="A181" s="292"/>
      <c r="B181" s="282"/>
      <c r="C181" s="289"/>
      <c r="D181" s="294"/>
      <c r="E181" s="282"/>
      <c r="F181" s="66" t="s">
        <v>142</v>
      </c>
      <c r="G181" s="74">
        <v>10</v>
      </c>
      <c r="H181" s="34"/>
      <c r="I181" s="34"/>
    </row>
    <row r="182" spans="1:9" s="68" customFormat="1" x14ac:dyDescent="0.2">
      <c r="A182" s="292"/>
      <c r="B182" s="282"/>
      <c r="C182" s="289"/>
      <c r="D182" s="294"/>
      <c r="E182" s="282"/>
      <c r="F182" s="66" t="s">
        <v>143</v>
      </c>
      <c r="G182" s="74">
        <v>0</v>
      </c>
      <c r="H182" s="34"/>
      <c r="I182" s="34"/>
    </row>
    <row r="183" spans="1:9" s="68" customFormat="1" x14ac:dyDescent="0.2">
      <c r="A183" s="292"/>
      <c r="B183" s="282"/>
      <c r="C183" s="289"/>
      <c r="D183" s="294"/>
      <c r="E183" s="278" t="s">
        <v>139</v>
      </c>
      <c r="F183" s="66" t="s">
        <v>140</v>
      </c>
      <c r="G183" s="74">
        <v>45</v>
      </c>
      <c r="H183" s="34"/>
      <c r="I183" s="34"/>
    </row>
    <row r="184" spans="1:9" s="68" customFormat="1" x14ac:dyDescent="0.2">
      <c r="A184" s="292"/>
      <c r="B184" s="282"/>
      <c r="C184" s="289"/>
      <c r="D184" s="294"/>
      <c r="E184" s="282"/>
      <c r="F184" s="66" t="s">
        <v>141</v>
      </c>
      <c r="G184" s="74">
        <v>35</v>
      </c>
      <c r="H184" s="34"/>
      <c r="I184" s="34"/>
    </row>
    <row r="185" spans="1:9" s="68" customFormat="1" x14ac:dyDescent="0.2">
      <c r="A185" s="292"/>
      <c r="B185" s="282"/>
      <c r="C185" s="289"/>
      <c r="D185" s="294"/>
      <c r="E185" s="282"/>
      <c r="F185" s="66" t="s">
        <v>142</v>
      </c>
      <c r="G185" s="74">
        <v>10</v>
      </c>
      <c r="H185" s="34"/>
      <c r="I185" s="34"/>
    </row>
    <row r="186" spans="1:9" s="68" customFormat="1" x14ac:dyDescent="0.2">
      <c r="A186" s="292"/>
      <c r="B186" s="282"/>
      <c r="C186" s="289"/>
      <c r="D186" s="294"/>
      <c r="E186" s="282"/>
      <c r="F186" s="66" t="s">
        <v>143</v>
      </c>
      <c r="G186" s="74">
        <v>0</v>
      </c>
      <c r="H186" s="34"/>
      <c r="I186" s="34"/>
    </row>
    <row r="187" spans="1:9" s="68" customFormat="1" x14ac:dyDescent="0.2">
      <c r="A187" s="292"/>
      <c r="B187" s="282"/>
      <c r="C187" s="289"/>
      <c r="D187" s="294"/>
      <c r="E187" s="278" t="s">
        <v>139</v>
      </c>
      <c r="F187" s="66" t="s">
        <v>140</v>
      </c>
      <c r="G187" s="74">
        <v>35</v>
      </c>
      <c r="H187" s="34"/>
      <c r="I187" s="34"/>
    </row>
    <row r="188" spans="1:9" s="68" customFormat="1" x14ac:dyDescent="0.2">
      <c r="A188" s="292"/>
      <c r="B188" s="282"/>
      <c r="C188" s="289"/>
      <c r="D188" s="294"/>
      <c r="E188" s="282"/>
      <c r="F188" s="66" t="s">
        <v>141</v>
      </c>
      <c r="G188" s="74">
        <v>25</v>
      </c>
      <c r="H188" s="34"/>
      <c r="I188" s="34"/>
    </row>
    <row r="189" spans="1:9" s="68" customFormat="1" x14ac:dyDescent="0.2">
      <c r="A189" s="292"/>
      <c r="B189" s="282"/>
      <c r="C189" s="289"/>
      <c r="D189" s="294"/>
      <c r="E189" s="282"/>
      <c r="F189" s="66" t="s">
        <v>142</v>
      </c>
      <c r="G189" s="74">
        <v>10</v>
      </c>
      <c r="H189" s="34"/>
      <c r="I189" s="34"/>
    </row>
    <row r="190" spans="1:9" s="68" customFormat="1" x14ac:dyDescent="0.2">
      <c r="A190" s="292"/>
      <c r="B190" s="282"/>
      <c r="C190" s="289"/>
      <c r="D190" s="294"/>
      <c r="E190" s="282"/>
      <c r="F190" s="66" t="s">
        <v>143</v>
      </c>
      <c r="G190" s="74">
        <v>0</v>
      </c>
      <c r="H190" s="34"/>
      <c r="I190" s="34"/>
    </row>
    <row r="191" spans="1:9" s="68" customFormat="1" x14ac:dyDescent="0.2">
      <c r="A191" s="292"/>
      <c r="B191" s="282"/>
      <c r="C191" s="289"/>
      <c r="D191" s="294"/>
      <c r="E191" s="278" t="s">
        <v>139</v>
      </c>
      <c r="F191" s="66" t="s">
        <v>140</v>
      </c>
      <c r="G191" s="74">
        <v>25</v>
      </c>
      <c r="H191" s="34"/>
      <c r="I191" s="34"/>
    </row>
    <row r="192" spans="1:9" s="68" customFormat="1" x14ac:dyDescent="0.2">
      <c r="A192" s="292"/>
      <c r="B192" s="282"/>
      <c r="C192" s="289"/>
      <c r="D192" s="294"/>
      <c r="E192" s="282"/>
      <c r="F192" s="66" t="s">
        <v>141</v>
      </c>
      <c r="G192" s="74">
        <v>15</v>
      </c>
      <c r="H192" s="34"/>
      <c r="I192" s="34"/>
    </row>
    <row r="193" spans="1:9" s="68" customFormat="1" x14ac:dyDescent="0.2">
      <c r="A193" s="292"/>
      <c r="B193" s="282"/>
      <c r="C193" s="289"/>
      <c r="D193" s="294"/>
      <c r="E193" s="282"/>
      <c r="F193" s="66" t="s">
        <v>142</v>
      </c>
      <c r="G193" s="74">
        <v>10</v>
      </c>
      <c r="H193" s="34"/>
      <c r="I193" s="34"/>
    </row>
    <row r="194" spans="1:9" s="68" customFormat="1" x14ac:dyDescent="0.2">
      <c r="A194" s="292"/>
      <c r="B194" s="282"/>
      <c r="C194" s="289"/>
      <c r="D194" s="294"/>
      <c r="E194" s="282"/>
      <c r="F194" s="66" t="s">
        <v>143</v>
      </c>
      <c r="G194" s="74">
        <v>0</v>
      </c>
      <c r="H194" s="34"/>
      <c r="I194" s="34"/>
    </row>
    <row r="195" spans="1:9" s="68" customFormat="1" x14ac:dyDescent="0.2">
      <c r="A195" s="292"/>
      <c r="B195" s="282"/>
      <c r="C195" s="289"/>
      <c r="D195" s="294"/>
      <c r="E195" s="278" t="s">
        <v>139</v>
      </c>
      <c r="F195" s="66" t="s">
        <v>140</v>
      </c>
      <c r="G195" s="74">
        <v>15</v>
      </c>
      <c r="H195" s="34"/>
      <c r="I195" s="34"/>
    </row>
    <row r="196" spans="1:9" s="68" customFormat="1" x14ac:dyDescent="0.2">
      <c r="A196" s="292"/>
      <c r="B196" s="282"/>
      <c r="C196" s="289"/>
      <c r="D196" s="294"/>
      <c r="E196" s="282"/>
      <c r="F196" s="66" t="s">
        <v>141</v>
      </c>
      <c r="G196" s="74">
        <v>5</v>
      </c>
      <c r="H196" s="34"/>
      <c r="I196" s="34"/>
    </row>
    <row r="197" spans="1:9" s="68" customFormat="1" x14ac:dyDescent="0.2">
      <c r="A197" s="292"/>
      <c r="B197" s="282"/>
      <c r="C197" s="289"/>
      <c r="D197" s="294"/>
      <c r="E197" s="282"/>
      <c r="F197" s="66" t="s">
        <v>142</v>
      </c>
      <c r="G197" s="74">
        <v>10</v>
      </c>
      <c r="H197" s="34"/>
      <c r="I197" s="34"/>
    </row>
    <row r="198" spans="1:9" s="68" customFormat="1" x14ac:dyDescent="0.2">
      <c r="A198" s="292"/>
      <c r="B198" s="282"/>
      <c r="C198" s="290"/>
      <c r="D198" s="295"/>
      <c r="E198" s="282"/>
      <c r="F198" s="66" t="s">
        <v>143</v>
      </c>
      <c r="G198" s="74">
        <v>0</v>
      </c>
      <c r="H198" s="34"/>
      <c r="I198" s="34"/>
    </row>
    <row r="201" spans="1:9" s="68" customFormat="1" x14ac:dyDescent="0.2">
      <c r="A201" s="291" t="s">
        <v>258</v>
      </c>
      <c r="B201" s="279" t="s">
        <v>94</v>
      </c>
      <c r="C201" s="276"/>
      <c r="D201" s="276"/>
      <c r="E201" s="276"/>
      <c r="F201" s="277"/>
      <c r="G201" s="74" t="s">
        <v>670</v>
      </c>
      <c r="H201" s="34"/>
      <c r="I201" s="34"/>
    </row>
    <row r="202" spans="1:9" s="68" customFormat="1" x14ac:dyDescent="0.2">
      <c r="A202" s="292"/>
      <c r="B202" s="278" t="s">
        <v>95</v>
      </c>
      <c r="C202" s="66" t="s">
        <v>96</v>
      </c>
      <c r="D202" s="282"/>
      <c r="E202" s="282"/>
      <c r="F202" s="282"/>
      <c r="G202" s="74" t="s">
        <v>202</v>
      </c>
      <c r="H202" s="34"/>
      <c r="I202" s="34"/>
    </row>
    <row r="203" spans="1:9" s="68" customFormat="1" x14ac:dyDescent="0.2">
      <c r="A203" s="292"/>
      <c r="B203" s="282"/>
      <c r="C203" s="66" t="s">
        <v>97</v>
      </c>
      <c r="D203" s="283"/>
      <c r="E203" s="283"/>
      <c r="F203" s="283"/>
      <c r="G203" s="75" t="s">
        <v>585</v>
      </c>
      <c r="H203" s="34"/>
      <c r="I203" s="34"/>
    </row>
    <row r="204" spans="1:9" s="68" customFormat="1" x14ac:dyDescent="0.2">
      <c r="A204" s="292"/>
      <c r="B204" s="279" t="s">
        <v>98</v>
      </c>
      <c r="C204" s="276"/>
      <c r="D204" s="276"/>
      <c r="E204" s="276"/>
      <c r="F204" s="277"/>
      <c r="G204" s="75">
        <v>0</v>
      </c>
      <c r="H204" s="34"/>
      <c r="I204" s="34"/>
    </row>
    <row r="205" spans="1:9" s="68" customFormat="1" x14ac:dyDescent="0.2">
      <c r="A205" s="292"/>
      <c r="B205" s="278" t="s">
        <v>99</v>
      </c>
      <c r="C205" s="66" t="s">
        <v>100</v>
      </c>
      <c r="D205" s="282"/>
      <c r="E205" s="282"/>
      <c r="F205" s="282"/>
      <c r="G205" s="75" t="s">
        <v>585</v>
      </c>
      <c r="H205" s="34"/>
      <c r="I205" s="34"/>
    </row>
    <row r="206" spans="1:9" s="68" customFormat="1" x14ac:dyDescent="0.2">
      <c r="A206" s="292"/>
      <c r="B206" s="282"/>
      <c r="C206" s="66" t="s">
        <v>101</v>
      </c>
      <c r="D206" s="282"/>
      <c r="E206" s="282"/>
      <c r="F206" s="282"/>
      <c r="G206" s="75" t="s">
        <v>585</v>
      </c>
      <c r="H206" s="34"/>
      <c r="I206" s="34"/>
    </row>
    <row r="207" spans="1:9" s="68" customFormat="1" x14ac:dyDescent="0.2">
      <c r="A207" s="292"/>
      <c r="B207" s="282"/>
      <c r="C207" s="66" t="s">
        <v>102</v>
      </c>
      <c r="D207" s="282"/>
      <c r="E207" s="282"/>
      <c r="F207" s="282"/>
      <c r="G207" s="75" t="s">
        <v>585</v>
      </c>
      <c r="H207" s="34"/>
      <c r="I207" s="34"/>
    </row>
    <row r="208" spans="1:9" s="68" customFormat="1" x14ac:dyDescent="0.2">
      <c r="A208" s="292"/>
      <c r="B208" s="279" t="s">
        <v>103</v>
      </c>
      <c r="C208" s="276"/>
      <c r="D208" s="276"/>
      <c r="E208" s="276"/>
      <c r="F208" s="277"/>
      <c r="G208" s="74" t="s">
        <v>202</v>
      </c>
      <c r="H208" s="34"/>
      <c r="I208" s="34"/>
    </row>
    <row r="209" spans="1:9" s="68" customFormat="1" x14ac:dyDescent="0.2">
      <c r="A209" s="292"/>
      <c r="B209" s="279" t="s">
        <v>104</v>
      </c>
      <c r="C209" s="276"/>
      <c r="D209" s="276"/>
      <c r="E209" s="276"/>
      <c r="F209" s="277"/>
      <c r="G209" s="74" t="s">
        <v>202</v>
      </c>
      <c r="H209" s="34"/>
      <c r="I209" s="34"/>
    </row>
    <row r="210" spans="1:9" s="68" customFormat="1" x14ac:dyDescent="0.2">
      <c r="A210" s="292"/>
      <c r="B210" s="278" t="s">
        <v>105</v>
      </c>
      <c r="C210" s="279" t="s">
        <v>106</v>
      </c>
      <c r="D210" s="276"/>
      <c r="E210" s="276"/>
      <c r="F210" s="277"/>
      <c r="G210" s="75" t="s">
        <v>585</v>
      </c>
      <c r="H210" s="34"/>
      <c r="I210" s="34"/>
    </row>
    <row r="211" spans="1:9" s="68" customFormat="1" x14ac:dyDescent="0.2">
      <c r="A211" s="292"/>
      <c r="B211" s="282"/>
      <c r="C211" s="279" t="s">
        <v>107</v>
      </c>
      <c r="D211" s="276"/>
      <c r="E211" s="276"/>
      <c r="F211" s="277"/>
      <c r="G211" s="74" t="s">
        <v>202</v>
      </c>
      <c r="H211" s="34"/>
      <c r="I211" s="34"/>
    </row>
    <row r="212" spans="1:9" s="68" customFormat="1" x14ac:dyDescent="0.2">
      <c r="A212" s="292"/>
      <c r="B212" s="279" t="s">
        <v>108</v>
      </c>
      <c r="C212" s="276"/>
      <c r="D212" s="276"/>
      <c r="E212" s="276"/>
      <c r="F212" s="277"/>
      <c r="G212" s="75" t="s">
        <v>612</v>
      </c>
      <c r="H212" s="34"/>
      <c r="I212" s="34"/>
    </row>
    <row r="213" spans="1:9" s="68" customFormat="1" x14ac:dyDescent="0.2">
      <c r="A213" s="292"/>
      <c r="B213" s="279" t="s">
        <v>109</v>
      </c>
      <c r="C213" s="276"/>
      <c r="D213" s="276"/>
      <c r="E213" s="276"/>
      <c r="F213" s="277"/>
      <c r="G213" s="74">
        <v>20</v>
      </c>
      <c r="H213" s="34"/>
      <c r="I213" s="34"/>
    </row>
    <row r="214" spans="1:9" s="68" customFormat="1" x14ac:dyDescent="0.2">
      <c r="A214" s="292"/>
      <c r="B214" s="278" t="s">
        <v>110</v>
      </c>
      <c r="C214" s="288" t="s">
        <v>111</v>
      </c>
      <c r="D214" s="279" t="s">
        <v>1</v>
      </c>
      <c r="E214" s="276"/>
      <c r="F214" s="277"/>
      <c r="G214" s="74" t="s">
        <v>613</v>
      </c>
      <c r="H214" s="34"/>
      <c r="I214" s="34"/>
    </row>
    <row r="215" spans="1:9" s="68" customFormat="1" x14ac:dyDescent="0.2">
      <c r="A215" s="292"/>
      <c r="B215" s="282"/>
      <c r="C215" s="289"/>
      <c r="D215" s="279" t="s">
        <v>112</v>
      </c>
      <c r="E215" s="276"/>
      <c r="F215" s="277"/>
      <c r="G215" s="74">
        <v>2</v>
      </c>
      <c r="H215" s="34"/>
      <c r="I215" s="34"/>
    </row>
    <row r="216" spans="1:9" s="68" customFormat="1" x14ac:dyDescent="0.2">
      <c r="A216" s="292"/>
      <c r="B216" s="282"/>
      <c r="C216" s="289"/>
      <c r="D216" s="279" t="s">
        <v>113</v>
      </c>
      <c r="E216" s="276"/>
      <c r="F216" s="277"/>
      <c r="G216" s="74">
        <v>1</v>
      </c>
      <c r="H216" s="34"/>
      <c r="I216" s="34"/>
    </row>
    <row r="217" spans="1:9" s="68" customFormat="1" x14ac:dyDescent="0.2">
      <c r="A217" s="292"/>
      <c r="B217" s="282"/>
      <c r="C217" s="289"/>
      <c r="D217" s="279" t="s">
        <v>114</v>
      </c>
      <c r="E217" s="276"/>
      <c r="F217" s="277"/>
      <c r="G217" s="74">
        <v>2</v>
      </c>
      <c r="H217" s="34"/>
      <c r="I217" s="34"/>
    </row>
    <row r="218" spans="1:9" s="68" customFormat="1" x14ac:dyDescent="0.2">
      <c r="A218" s="292"/>
      <c r="B218" s="282"/>
      <c r="C218" s="289"/>
      <c r="D218" s="278" t="s">
        <v>115</v>
      </c>
      <c r="E218" s="278" t="s">
        <v>116</v>
      </c>
      <c r="F218" s="278"/>
      <c r="G218" s="75" t="s">
        <v>585</v>
      </c>
      <c r="H218" s="34"/>
      <c r="I218" s="34"/>
    </row>
    <row r="219" spans="1:9" s="68" customFormat="1" x14ac:dyDescent="0.2">
      <c r="A219" s="292"/>
      <c r="B219" s="282"/>
      <c r="C219" s="289"/>
      <c r="D219" s="282"/>
      <c r="E219" s="278" t="s">
        <v>117</v>
      </c>
      <c r="F219" s="278"/>
      <c r="G219" s="74" t="s">
        <v>202</v>
      </c>
      <c r="H219" s="34"/>
      <c r="I219" s="34"/>
    </row>
    <row r="220" spans="1:9" s="68" customFormat="1" x14ac:dyDescent="0.2">
      <c r="A220" s="292"/>
      <c r="B220" s="282"/>
      <c r="C220" s="289"/>
      <c r="D220" s="278" t="s">
        <v>118</v>
      </c>
      <c r="E220" s="278" t="s">
        <v>119</v>
      </c>
      <c r="F220" s="278"/>
      <c r="G220" s="74" t="s">
        <v>202</v>
      </c>
      <c r="H220" s="34"/>
      <c r="I220" s="34"/>
    </row>
    <row r="221" spans="1:9" s="68" customFormat="1" x14ac:dyDescent="0.2">
      <c r="A221" s="292"/>
      <c r="B221" s="282"/>
      <c r="C221" s="289"/>
      <c r="D221" s="282"/>
      <c r="E221" s="278" t="s">
        <v>120</v>
      </c>
      <c r="F221" s="278"/>
      <c r="G221" s="75" t="s">
        <v>585</v>
      </c>
      <c r="H221" s="34"/>
      <c r="I221" s="34"/>
    </row>
    <row r="222" spans="1:9" s="68" customFormat="1" x14ac:dyDescent="0.2">
      <c r="A222" s="292"/>
      <c r="B222" s="282"/>
      <c r="C222" s="289"/>
      <c r="D222" s="278" t="s">
        <v>121</v>
      </c>
      <c r="E222" s="278"/>
      <c r="F222" s="278"/>
      <c r="G222" s="74">
        <v>0</v>
      </c>
      <c r="H222" s="34"/>
      <c r="I222" s="34"/>
    </row>
    <row r="223" spans="1:9" s="68" customFormat="1" x14ac:dyDescent="0.2">
      <c r="A223" s="292"/>
      <c r="B223" s="282"/>
      <c r="C223" s="289"/>
      <c r="D223" s="278" t="s">
        <v>122</v>
      </c>
      <c r="E223" s="278"/>
      <c r="F223" s="278"/>
      <c r="G223" s="74">
        <v>80</v>
      </c>
      <c r="H223" s="34"/>
      <c r="I223" s="34"/>
    </row>
    <row r="224" spans="1:9" s="68" customFormat="1" x14ac:dyDescent="0.2">
      <c r="A224" s="292"/>
      <c r="B224" s="282"/>
      <c r="C224" s="289"/>
      <c r="D224" s="278" t="s">
        <v>123</v>
      </c>
      <c r="E224" s="278"/>
      <c r="F224" s="278"/>
      <c r="G224" s="76" t="s">
        <v>258</v>
      </c>
      <c r="H224" s="34"/>
      <c r="I224" s="34"/>
    </row>
    <row r="225" spans="1:9" s="68" customFormat="1" x14ac:dyDescent="0.2">
      <c r="A225" s="292"/>
      <c r="B225" s="282"/>
      <c r="C225" s="288" t="s">
        <v>128</v>
      </c>
      <c r="D225" s="278" t="s">
        <v>1</v>
      </c>
      <c r="E225" s="278"/>
      <c r="F225" s="278"/>
      <c r="G225" s="74" t="s">
        <v>616</v>
      </c>
      <c r="H225" s="34"/>
      <c r="I225" s="34"/>
    </row>
    <row r="226" spans="1:9" s="68" customFormat="1" x14ac:dyDescent="0.2">
      <c r="A226" s="292"/>
      <c r="B226" s="282"/>
      <c r="C226" s="289"/>
      <c r="D226" s="278" t="s">
        <v>129</v>
      </c>
      <c r="E226" s="278"/>
      <c r="F226" s="278"/>
      <c r="G226" s="74">
        <v>1</v>
      </c>
      <c r="H226" s="34"/>
      <c r="I226" s="34"/>
    </row>
    <row r="227" spans="1:9" s="68" customFormat="1" x14ac:dyDescent="0.2">
      <c r="A227" s="292"/>
      <c r="B227" s="282"/>
      <c r="C227" s="289"/>
      <c r="D227" s="278" t="s">
        <v>130</v>
      </c>
      <c r="E227" s="278"/>
      <c r="F227" s="278"/>
      <c r="G227" s="74">
        <v>3</v>
      </c>
      <c r="H227" s="34"/>
      <c r="I227" s="34"/>
    </row>
    <row r="228" spans="1:9" s="68" customFormat="1" x14ac:dyDescent="0.2">
      <c r="A228" s="292"/>
      <c r="B228" s="282"/>
      <c r="C228" s="289"/>
      <c r="D228" s="278" t="s">
        <v>131</v>
      </c>
      <c r="E228" s="278" t="s">
        <v>132</v>
      </c>
      <c r="F228" s="278"/>
      <c r="G228" s="74" t="s">
        <v>202</v>
      </c>
      <c r="H228" s="34"/>
      <c r="I228" s="34"/>
    </row>
    <row r="229" spans="1:9" s="68" customFormat="1" x14ac:dyDescent="0.2">
      <c r="A229" s="292"/>
      <c r="B229" s="282"/>
      <c r="C229" s="289"/>
      <c r="D229" s="282"/>
      <c r="E229" s="278" t="s">
        <v>133</v>
      </c>
      <c r="F229" s="278"/>
      <c r="G229" s="75" t="s">
        <v>585</v>
      </c>
      <c r="H229" s="34"/>
      <c r="I229" s="34"/>
    </row>
    <row r="230" spans="1:9" s="68" customFormat="1" x14ac:dyDescent="0.2">
      <c r="A230" s="292"/>
      <c r="B230" s="282"/>
      <c r="C230" s="289"/>
      <c r="D230" s="278" t="s">
        <v>134</v>
      </c>
      <c r="E230" s="278" t="s">
        <v>135</v>
      </c>
      <c r="F230" s="278"/>
      <c r="G230" s="74" t="s">
        <v>202</v>
      </c>
      <c r="H230" s="34"/>
      <c r="I230" s="34"/>
    </row>
    <row r="231" spans="1:9" s="68" customFormat="1" x14ac:dyDescent="0.2">
      <c r="A231" s="292"/>
      <c r="B231" s="282"/>
      <c r="C231" s="289"/>
      <c r="D231" s="282"/>
      <c r="E231" s="278" t="s">
        <v>136</v>
      </c>
      <c r="F231" s="278"/>
      <c r="G231" s="75" t="s">
        <v>585</v>
      </c>
      <c r="H231" s="34"/>
      <c r="I231" s="34"/>
    </row>
    <row r="232" spans="1:9" s="68" customFormat="1" x14ac:dyDescent="0.2">
      <c r="A232" s="292"/>
      <c r="B232" s="282"/>
      <c r="C232" s="289"/>
      <c r="D232" s="282"/>
      <c r="E232" s="278" t="s">
        <v>137</v>
      </c>
      <c r="F232" s="278"/>
      <c r="G232" s="75" t="s">
        <v>585</v>
      </c>
      <c r="H232" s="34"/>
      <c r="I232" s="34"/>
    </row>
    <row r="233" spans="1:9" s="68" customFormat="1" x14ac:dyDescent="0.2">
      <c r="A233" s="292"/>
      <c r="B233" s="282"/>
      <c r="C233" s="289"/>
      <c r="D233" s="293" t="s">
        <v>617</v>
      </c>
      <c r="E233" s="278" t="s">
        <v>139</v>
      </c>
      <c r="F233" s="66" t="s">
        <v>140</v>
      </c>
      <c r="G233" s="74">
        <v>65</v>
      </c>
      <c r="H233" s="34"/>
      <c r="I233" s="34"/>
    </row>
    <row r="234" spans="1:9" s="68" customFormat="1" x14ac:dyDescent="0.2">
      <c r="A234" s="292"/>
      <c r="B234" s="282"/>
      <c r="C234" s="289"/>
      <c r="D234" s="294"/>
      <c r="E234" s="282"/>
      <c r="F234" s="66" t="s">
        <v>141</v>
      </c>
      <c r="G234" s="74">
        <v>55</v>
      </c>
      <c r="H234" s="34"/>
      <c r="I234" s="34"/>
    </row>
    <row r="235" spans="1:9" s="68" customFormat="1" x14ac:dyDescent="0.2">
      <c r="A235" s="292"/>
      <c r="B235" s="282"/>
      <c r="C235" s="289"/>
      <c r="D235" s="294"/>
      <c r="E235" s="282"/>
      <c r="F235" s="66" t="s">
        <v>142</v>
      </c>
      <c r="G235" s="74">
        <v>10</v>
      </c>
      <c r="H235" s="34"/>
      <c r="I235" s="34"/>
    </row>
    <row r="236" spans="1:9" s="68" customFormat="1" x14ac:dyDescent="0.2">
      <c r="A236" s="292"/>
      <c r="B236" s="282"/>
      <c r="C236" s="289"/>
      <c r="D236" s="294"/>
      <c r="E236" s="282"/>
      <c r="F236" s="66" t="s">
        <v>143</v>
      </c>
      <c r="G236" s="74">
        <v>0</v>
      </c>
      <c r="H236" s="34"/>
      <c r="I236" s="34"/>
    </row>
    <row r="237" spans="1:9" s="68" customFormat="1" x14ac:dyDescent="0.2">
      <c r="A237" s="292"/>
      <c r="B237" s="282"/>
      <c r="C237" s="289"/>
      <c r="D237" s="294"/>
      <c r="E237" s="278" t="s">
        <v>139</v>
      </c>
      <c r="F237" s="66" t="s">
        <v>140</v>
      </c>
      <c r="G237" s="74">
        <v>55</v>
      </c>
      <c r="H237" s="34"/>
      <c r="I237" s="34"/>
    </row>
    <row r="238" spans="1:9" s="68" customFormat="1" x14ac:dyDescent="0.2">
      <c r="A238" s="292"/>
      <c r="B238" s="282"/>
      <c r="C238" s="289"/>
      <c r="D238" s="294"/>
      <c r="E238" s="282"/>
      <c r="F238" s="66" t="s">
        <v>141</v>
      </c>
      <c r="G238" s="74">
        <v>45</v>
      </c>
      <c r="H238" s="34"/>
      <c r="I238" s="34"/>
    </row>
    <row r="239" spans="1:9" s="68" customFormat="1" x14ac:dyDescent="0.2">
      <c r="A239" s="292"/>
      <c r="B239" s="282"/>
      <c r="C239" s="289"/>
      <c r="D239" s="294"/>
      <c r="E239" s="282"/>
      <c r="F239" s="66" t="s">
        <v>142</v>
      </c>
      <c r="G239" s="74">
        <v>10</v>
      </c>
      <c r="H239" s="34"/>
      <c r="I239" s="34"/>
    </row>
    <row r="240" spans="1:9" s="68" customFormat="1" x14ac:dyDescent="0.2">
      <c r="A240" s="292"/>
      <c r="B240" s="282"/>
      <c r="C240" s="289"/>
      <c r="D240" s="294"/>
      <c r="E240" s="282"/>
      <c r="F240" s="66" t="s">
        <v>143</v>
      </c>
      <c r="G240" s="74">
        <v>0</v>
      </c>
      <c r="H240" s="34"/>
      <c r="I240" s="34"/>
    </row>
    <row r="241" spans="1:9" s="68" customFormat="1" x14ac:dyDescent="0.2">
      <c r="A241" s="292"/>
      <c r="B241" s="282"/>
      <c r="C241" s="289"/>
      <c r="D241" s="294"/>
      <c r="E241" s="278" t="s">
        <v>139</v>
      </c>
      <c r="F241" s="66" t="s">
        <v>140</v>
      </c>
      <c r="G241" s="74">
        <v>45</v>
      </c>
      <c r="H241" s="34"/>
      <c r="I241" s="34"/>
    </row>
    <row r="242" spans="1:9" s="68" customFormat="1" x14ac:dyDescent="0.2">
      <c r="A242" s="292"/>
      <c r="B242" s="282"/>
      <c r="C242" s="289"/>
      <c r="D242" s="294"/>
      <c r="E242" s="282"/>
      <c r="F242" s="66" t="s">
        <v>141</v>
      </c>
      <c r="G242" s="74">
        <v>35</v>
      </c>
      <c r="H242" s="34"/>
      <c r="I242" s="34"/>
    </row>
    <row r="243" spans="1:9" s="68" customFormat="1" x14ac:dyDescent="0.2">
      <c r="A243" s="292"/>
      <c r="B243" s="282"/>
      <c r="C243" s="289"/>
      <c r="D243" s="294"/>
      <c r="E243" s="282"/>
      <c r="F243" s="66" t="s">
        <v>142</v>
      </c>
      <c r="G243" s="74">
        <v>10</v>
      </c>
      <c r="H243" s="34"/>
      <c r="I243" s="34"/>
    </row>
    <row r="244" spans="1:9" s="68" customFormat="1" x14ac:dyDescent="0.2">
      <c r="A244" s="292"/>
      <c r="B244" s="282"/>
      <c r="C244" s="289"/>
      <c r="D244" s="294"/>
      <c r="E244" s="282"/>
      <c r="F244" s="66" t="s">
        <v>143</v>
      </c>
      <c r="G244" s="74">
        <v>0</v>
      </c>
      <c r="H244" s="34"/>
      <c r="I244" s="34"/>
    </row>
    <row r="245" spans="1:9" s="68" customFormat="1" x14ac:dyDescent="0.2">
      <c r="A245" s="292"/>
      <c r="B245" s="282"/>
      <c r="C245" s="289"/>
      <c r="D245" s="294"/>
      <c r="E245" s="278" t="s">
        <v>139</v>
      </c>
      <c r="F245" s="66" t="s">
        <v>140</v>
      </c>
      <c r="G245" s="74">
        <v>35</v>
      </c>
      <c r="H245" s="34"/>
      <c r="I245" s="34"/>
    </row>
    <row r="246" spans="1:9" s="68" customFormat="1" x14ac:dyDescent="0.2">
      <c r="A246" s="292"/>
      <c r="B246" s="282"/>
      <c r="C246" s="289"/>
      <c r="D246" s="294"/>
      <c r="E246" s="282"/>
      <c r="F246" s="66" t="s">
        <v>141</v>
      </c>
      <c r="G246" s="74">
        <v>25</v>
      </c>
      <c r="H246" s="34"/>
      <c r="I246" s="34"/>
    </row>
    <row r="247" spans="1:9" s="68" customFormat="1" x14ac:dyDescent="0.2">
      <c r="A247" s="292"/>
      <c r="B247" s="282"/>
      <c r="C247" s="289"/>
      <c r="D247" s="294"/>
      <c r="E247" s="282"/>
      <c r="F247" s="66" t="s">
        <v>142</v>
      </c>
      <c r="G247" s="74">
        <v>10</v>
      </c>
      <c r="H247" s="34"/>
      <c r="I247" s="34"/>
    </row>
    <row r="248" spans="1:9" s="68" customFormat="1" x14ac:dyDescent="0.2">
      <c r="A248" s="292"/>
      <c r="B248" s="282"/>
      <c r="C248" s="289"/>
      <c r="D248" s="294"/>
      <c r="E248" s="282"/>
      <c r="F248" s="66" t="s">
        <v>143</v>
      </c>
      <c r="G248" s="74">
        <v>0</v>
      </c>
      <c r="H248" s="34"/>
      <c r="I248" s="34"/>
    </row>
    <row r="249" spans="1:9" s="68" customFormat="1" x14ac:dyDescent="0.2">
      <c r="A249" s="292"/>
      <c r="B249" s="282"/>
      <c r="C249" s="289"/>
      <c r="D249" s="294"/>
      <c r="E249" s="278" t="s">
        <v>139</v>
      </c>
      <c r="F249" s="66" t="s">
        <v>140</v>
      </c>
      <c r="G249" s="74">
        <v>25</v>
      </c>
      <c r="H249" s="34"/>
      <c r="I249" s="34"/>
    </row>
    <row r="250" spans="1:9" s="68" customFormat="1" x14ac:dyDescent="0.2">
      <c r="A250" s="292"/>
      <c r="B250" s="282"/>
      <c r="C250" s="289"/>
      <c r="D250" s="294"/>
      <c r="E250" s="282"/>
      <c r="F250" s="66" t="s">
        <v>141</v>
      </c>
      <c r="G250" s="74">
        <v>15</v>
      </c>
      <c r="H250" s="34"/>
      <c r="I250" s="34"/>
    </row>
    <row r="251" spans="1:9" s="68" customFormat="1" x14ac:dyDescent="0.2">
      <c r="A251" s="292"/>
      <c r="B251" s="282"/>
      <c r="C251" s="289"/>
      <c r="D251" s="294"/>
      <c r="E251" s="282"/>
      <c r="F251" s="66" t="s">
        <v>142</v>
      </c>
      <c r="G251" s="74">
        <v>10</v>
      </c>
      <c r="H251" s="34"/>
      <c r="I251" s="34"/>
    </row>
    <row r="252" spans="1:9" s="68" customFormat="1" x14ac:dyDescent="0.2">
      <c r="A252" s="292"/>
      <c r="B252" s="282"/>
      <c r="C252" s="289"/>
      <c r="D252" s="294"/>
      <c r="E252" s="282"/>
      <c r="F252" s="66" t="s">
        <v>143</v>
      </c>
      <c r="G252" s="74">
        <v>0</v>
      </c>
      <c r="H252" s="34"/>
      <c r="I252" s="34"/>
    </row>
    <row r="253" spans="1:9" s="68" customFormat="1" x14ac:dyDescent="0.2">
      <c r="A253" s="292"/>
      <c r="B253" s="282"/>
      <c r="C253" s="289"/>
      <c r="D253" s="294"/>
      <c r="E253" s="278" t="s">
        <v>139</v>
      </c>
      <c r="F253" s="66" t="s">
        <v>140</v>
      </c>
      <c r="G253" s="74">
        <v>15</v>
      </c>
      <c r="H253" s="34"/>
      <c r="I253" s="34"/>
    </row>
    <row r="254" spans="1:9" s="68" customFormat="1" x14ac:dyDescent="0.2">
      <c r="A254" s="292"/>
      <c r="B254" s="282"/>
      <c r="C254" s="289"/>
      <c r="D254" s="294"/>
      <c r="E254" s="282"/>
      <c r="F254" s="66" t="s">
        <v>141</v>
      </c>
      <c r="G254" s="74">
        <v>5</v>
      </c>
      <c r="H254" s="34"/>
      <c r="I254" s="34"/>
    </row>
    <row r="255" spans="1:9" s="68" customFormat="1" x14ac:dyDescent="0.2">
      <c r="A255" s="292"/>
      <c r="B255" s="282"/>
      <c r="C255" s="289"/>
      <c r="D255" s="294"/>
      <c r="E255" s="282"/>
      <c r="F255" s="66" t="s">
        <v>142</v>
      </c>
      <c r="G255" s="74">
        <v>10</v>
      </c>
      <c r="H255" s="34"/>
      <c r="I255" s="34"/>
    </row>
    <row r="256" spans="1:9" s="68" customFormat="1" x14ac:dyDescent="0.2">
      <c r="A256" s="292"/>
      <c r="B256" s="282"/>
      <c r="C256" s="290"/>
      <c r="D256" s="295"/>
      <c r="E256" s="282"/>
      <c r="F256" s="66" t="s">
        <v>143</v>
      </c>
      <c r="G256" s="74">
        <v>0</v>
      </c>
      <c r="H256" s="34"/>
      <c r="I256" s="34"/>
    </row>
  </sheetData>
  <mergeCells count="230">
    <mergeCell ref="C4:F4"/>
    <mergeCell ref="C5:F5"/>
    <mergeCell ref="E20:F20"/>
    <mergeCell ref="E21:F21"/>
    <mergeCell ref="E45:F45"/>
    <mergeCell ref="E46:F46"/>
    <mergeCell ref="E80:F80"/>
    <mergeCell ref="E47:F47"/>
    <mergeCell ref="E48:F48"/>
    <mergeCell ref="E49:F49"/>
    <mergeCell ref="E74:F74"/>
    <mergeCell ref="E50:E53"/>
    <mergeCell ref="D75:F75"/>
    <mergeCell ref="D76:F76"/>
    <mergeCell ref="D77:F77"/>
    <mergeCell ref="D78:F78"/>
    <mergeCell ref="D79:F79"/>
    <mergeCell ref="D45:D46"/>
    <mergeCell ref="D47:D49"/>
    <mergeCell ref="D50:D73"/>
    <mergeCell ref="E54:E57"/>
    <mergeCell ref="E58:E61"/>
    <mergeCell ref="E22:F22"/>
    <mergeCell ref="E23:F23"/>
    <mergeCell ref="B7:B9"/>
    <mergeCell ref="B12:B13"/>
    <mergeCell ref="B16:B82"/>
    <mergeCell ref="B14:F14"/>
    <mergeCell ref="E81:F81"/>
    <mergeCell ref="D82:F82"/>
    <mergeCell ref="E62:E65"/>
    <mergeCell ref="D41:F41"/>
    <mergeCell ref="D31:F31"/>
    <mergeCell ref="D33:F33"/>
    <mergeCell ref="D34:F34"/>
    <mergeCell ref="D35:D36"/>
    <mergeCell ref="E35:F35"/>
    <mergeCell ref="E36:F36"/>
    <mergeCell ref="B11:F11"/>
    <mergeCell ref="C12:F12"/>
    <mergeCell ref="C13:F13"/>
    <mergeCell ref="C28:C30"/>
    <mergeCell ref="D19:F19"/>
    <mergeCell ref="D29:F29"/>
    <mergeCell ref="B15:F15"/>
    <mergeCell ref="D16:F16"/>
    <mergeCell ref="D17:F17"/>
    <mergeCell ref="D18:F18"/>
    <mergeCell ref="D86:F86"/>
    <mergeCell ref="D87:F87"/>
    <mergeCell ref="D30:F30"/>
    <mergeCell ref="D42:F42"/>
    <mergeCell ref="D43:F43"/>
    <mergeCell ref="D44:F44"/>
    <mergeCell ref="D32:F32"/>
    <mergeCell ref="D40:F40"/>
    <mergeCell ref="D24:F24"/>
    <mergeCell ref="D25:F25"/>
    <mergeCell ref="D26:F26"/>
    <mergeCell ref="D27:F27"/>
    <mergeCell ref="D28:F28"/>
    <mergeCell ref="D80:D81"/>
    <mergeCell ref="D7:F7"/>
    <mergeCell ref="D8:F8"/>
    <mergeCell ref="D9:F9"/>
    <mergeCell ref="C16:C27"/>
    <mergeCell ref="D20:D21"/>
    <mergeCell ref="D22:D23"/>
    <mergeCell ref="C42:C73"/>
    <mergeCell ref="E66:E69"/>
    <mergeCell ref="E70:E73"/>
    <mergeCell ref="B88:F88"/>
    <mergeCell ref="B89:B91"/>
    <mergeCell ref="D89:F89"/>
    <mergeCell ref="D90:F90"/>
    <mergeCell ref="D91:F91"/>
    <mergeCell ref="B92:F92"/>
    <mergeCell ref="B93:F93"/>
    <mergeCell ref="A3:A82"/>
    <mergeCell ref="B4:B5"/>
    <mergeCell ref="A85:A140"/>
    <mergeCell ref="B85:F85"/>
    <mergeCell ref="B86:B87"/>
    <mergeCell ref="B94:B95"/>
    <mergeCell ref="C94:F94"/>
    <mergeCell ref="C95:F95"/>
    <mergeCell ref="B3:F3"/>
    <mergeCell ref="C31:C41"/>
    <mergeCell ref="D37:D38"/>
    <mergeCell ref="E37:F37"/>
    <mergeCell ref="E38:F38"/>
    <mergeCell ref="D39:F39"/>
    <mergeCell ref="B6:F6"/>
    <mergeCell ref="B10:F10"/>
    <mergeCell ref="C74:C82"/>
    <mergeCell ref="E125:E128"/>
    <mergeCell ref="E129:E132"/>
    <mergeCell ref="D108:F108"/>
    <mergeCell ref="B96:F96"/>
    <mergeCell ref="B97:F97"/>
    <mergeCell ref="B98:B140"/>
    <mergeCell ref="C98:C108"/>
    <mergeCell ref="D98:F98"/>
    <mergeCell ref="D99:F99"/>
    <mergeCell ref="D100:F100"/>
    <mergeCell ref="D101:F101"/>
    <mergeCell ref="D102:D103"/>
    <mergeCell ref="E102:F102"/>
    <mergeCell ref="E103:F103"/>
    <mergeCell ref="D104:D105"/>
    <mergeCell ref="E104:F104"/>
    <mergeCell ref="E105:F105"/>
    <mergeCell ref="D106:F106"/>
    <mergeCell ref="D107:F107"/>
    <mergeCell ref="D148:F148"/>
    <mergeCell ref="D149:F149"/>
    <mergeCell ref="B150:F150"/>
    <mergeCell ref="B151:F151"/>
    <mergeCell ref="B152:B153"/>
    <mergeCell ref="C152:F152"/>
    <mergeCell ref="C153:F153"/>
    <mergeCell ref="B154:F154"/>
    <mergeCell ref="E133:E136"/>
    <mergeCell ref="E137:E140"/>
    <mergeCell ref="C109:C140"/>
    <mergeCell ref="D109:F109"/>
    <mergeCell ref="D110:F110"/>
    <mergeCell ref="D111:F111"/>
    <mergeCell ref="D112:D113"/>
    <mergeCell ref="E112:F112"/>
    <mergeCell ref="E113:F113"/>
    <mergeCell ref="D114:D116"/>
    <mergeCell ref="E114:F114"/>
    <mergeCell ref="E115:F115"/>
    <mergeCell ref="E116:F116"/>
    <mergeCell ref="D117:D140"/>
    <mergeCell ref="E117:E120"/>
    <mergeCell ref="E121:E124"/>
    <mergeCell ref="B155:F155"/>
    <mergeCell ref="B156:B198"/>
    <mergeCell ref="C156:C166"/>
    <mergeCell ref="D156:F156"/>
    <mergeCell ref="D157:F157"/>
    <mergeCell ref="D158:F158"/>
    <mergeCell ref="D159:F159"/>
    <mergeCell ref="D160:D161"/>
    <mergeCell ref="E160:F160"/>
    <mergeCell ref="E161:F161"/>
    <mergeCell ref="D162:D163"/>
    <mergeCell ref="E162:F162"/>
    <mergeCell ref="E163:F163"/>
    <mergeCell ref="D164:F164"/>
    <mergeCell ref="D165:F165"/>
    <mergeCell ref="D166:F166"/>
    <mergeCell ref="C167:C198"/>
    <mergeCell ref="D167:F167"/>
    <mergeCell ref="D168:F168"/>
    <mergeCell ref="D169:F169"/>
    <mergeCell ref="D170:D171"/>
    <mergeCell ref="E170:F170"/>
    <mergeCell ref="E171:F171"/>
    <mergeCell ref="D172:D174"/>
    <mergeCell ref="E172:F172"/>
    <mergeCell ref="E173:F173"/>
    <mergeCell ref="E174:F174"/>
    <mergeCell ref="D175:D198"/>
    <mergeCell ref="E175:E178"/>
    <mergeCell ref="E179:E182"/>
    <mergeCell ref="E183:E186"/>
    <mergeCell ref="E187:E190"/>
    <mergeCell ref="E191:E194"/>
    <mergeCell ref="E195:E198"/>
    <mergeCell ref="B212:F212"/>
    <mergeCell ref="B213:F213"/>
    <mergeCell ref="B214:B256"/>
    <mergeCell ref="D214:F214"/>
    <mergeCell ref="D215:F215"/>
    <mergeCell ref="D216:F216"/>
    <mergeCell ref="D217:F217"/>
    <mergeCell ref="D218:D219"/>
    <mergeCell ref="E218:F218"/>
    <mergeCell ref="E219:F219"/>
    <mergeCell ref="E232:F232"/>
    <mergeCell ref="D220:D221"/>
    <mergeCell ref="E220:F220"/>
    <mergeCell ref="E221:F221"/>
    <mergeCell ref="E253:E256"/>
    <mergeCell ref="C214:C224"/>
    <mergeCell ref="E233:E236"/>
    <mergeCell ref="E237:E240"/>
    <mergeCell ref="E241:E244"/>
    <mergeCell ref="E245:E248"/>
    <mergeCell ref="E249:E252"/>
    <mergeCell ref="D222:F222"/>
    <mergeCell ref="D223:F223"/>
    <mergeCell ref="D224:F224"/>
    <mergeCell ref="A143:A198"/>
    <mergeCell ref="B143:F143"/>
    <mergeCell ref="B144:B145"/>
    <mergeCell ref="D144:F144"/>
    <mergeCell ref="D145:F145"/>
    <mergeCell ref="B146:F146"/>
    <mergeCell ref="B147:B149"/>
    <mergeCell ref="D147:F147"/>
    <mergeCell ref="C210:F210"/>
    <mergeCell ref="A201:A256"/>
    <mergeCell ref="B201:F201"/>
    <mergeCell ref="B202:B203"/>
    <mergeCell ref="D202:F202"/>
    <mergeCell ref="D203:F203"/>
    <mergeCell ref="B204:F204"/>
    <mergeCell ref="B205:B207"/>
    <mergeCell ref="D205:F205"/>
    <mergeCell ref="D206:F206"/>
    <mergeCell ref="D207:F207"/>
    <mergeCell ref="B208:F208"/>
    <mergeCell ref="B209:F209"/>
    <mergeCell ref="B210:B211"/>
    <mergeCell ref="C211:F211"/>
    <mergeCell ref="D233:D256"/>
    <mergeCell ref="C225:C256"/>
    <mergeCell ref="D225:F225"/>
    <mergeCell ref="D226:F226"/>
    <mergeCell ref="D227:F227"/>
    <mergeCell ref="D228:D229"/>
    <mergeCell ref="E228:F228"/>
    <mergeCell ref="E229:F229"/>
    <mergeCell ref="D230:D232"/>
    <mergeCell ref="E230:F230"/>
    <mergeCell ref="E231:F231"/>
  </mergeCells>
  <pageMargins left="0.7" right="0.7" top="0.75" bottom="0.75" header="0.3" footer="0.3"/>
  <pageSetup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203"/>
  <sheetViews>
    <sheetView tabSelected="1" zoomScaleNormal="100" workbookViewId="0">
      <pane ySplit="1395" topLeftCell="A153" activePane="bottomLeft"/>
      <selection activeCell="B163" sqref="B163:F169"/>
      <selection pane="bottomLeft" activeCell="C144" sqref="C144:C162"/>
    </sheetView>
  </sheetViews>
  <sheetFormatPr defaultColWidth="9.140625" defaultRowHeight="12.75" x14ac:dyDescent="0.2"/>
  <cols>
    <col min="1" max="1" width="15.7109375" style="37" customWidth="1"/>
    <col min="2" max="2" width="35.85546875" style="37" customWidth="1"/>
    <col min="3" max="3" width="46.42578125" style="37" customWidth="1"/>
    <col min="4" max="4" width="40.42578125" style="37" customWidth="1"/>
    <col min="5" max="5" width="12.140625" style="4" customWidth="1"/>
    <col min="6" max="6" width="36.5703125" style="37" customWidth="1"/>
    <col min="7" max="16384" width="9.140625" style="37"/>
  </cols>
  <sheetData>
    <row r="1" spans="1:6" ht="57.75" thickBot="1" x14ac:dyDescent="0.25">
      <c r="B1" s="230"/>
      <c r="C1" s="231" t="s">
        <v>934</v>
      </c>
      <c r="D1" s="231" t="s">
        <v>935</v>
      </c>
      <c r="E1" s="231" t="s">
        <v>596</v>
      </c>
      <c r="F1" s="226" t="s">
        <v>933</v>
      </c>
    </row>
    <row r="2" spans="1:6" x14ac:dyDescent="0.2">
      <c r="A2" s="308" t="s">
        <v>18</v>
      </c>
      <c r="B2" s="311" t="s">
        <v>1</v>
      </c>
      <c r="C2" s="311"/>
      <c r="D2" s="229" t="s">
        <v>534</v>
      </c>
      <c r="E2" s="245" t="s">
        <v>202</v>
      </c>
      <c r="F2" s="246" t="s">
        <v>940</v>
      </c>
    </row>
    <row r="3" spans="1:6" x14ac:dyDescent="0.2">
      <c r="A3" s="309"/>
      <c r="B3" s="301" t="s">
        <v>19</v>
      </c>
      <c r="C3" s="301"/>
      <c r="D3" s="247" t="s">
        <v>335</v>
      </c>
      <c r="E3" s="239"/>
      <c r="F3" s="240"/>
    </row>
    <row r="4" spans="1:6" x14ac:dyDescent="0.2">
      <c r="A4" s="309"/>
      <c r="B4" s="301" t="s">
        <v>20</v>
      </c>
      <c r="C4" s="41" t="s">
        <v>21</v>
      </c>
      <c r="D4" s="300" t="s">
        <v>535</v>
      </c>
      <c r="E4" s="239"/>
      <c r="F4" s="240"/>
    </row>
    <row r="5" spans="1:6" x14ac:dyDescent="0.2">
      <c r="A5" s="309"/>
      <c r="B5" s="301"/>
      <c r="C5" s="41" t="s">
        <v>22</v>
      </c>
      <c r="D5" s="300"/>
      <c r="E5" s="239"/>
      <c r="F5" s="240"/>
    </row>
    <row r="6" spans="1:6" x14ac:dyDescent="0.2">
      <c r="A6" s="309"/>
      <c r="B6" s="301"/>
      <c r="C6" s="41" t="s">
        <v>23</v>
      </c>
      <c r="D6" s="300"/>
      <c r="E6" s="239"/>
      <c r="F6" s="240"/>
    </row>
    <row r="7" spans="1:6" x14ac:dyDescent="0.2">
      <c r="A7" s="309"/>
      <c r="B7" s="301" t="s">
        <v>24</v>
      </c>
      <c r="C7" s="41" t="s">
        <v>25</v>
      </c>
      <c r="D7" s="225" t="s">
        <v>536</v>
      </c>
      <c r="E7" s="239" t="s">
        <v>202</v>
      </c>
      <c r="F7" s="240" t="s">
        <v>940</v>
      </c>
    </row>
    <row r="8" spans="1:6" x14ac:dyDescent="0.2">
      <c r="A8" s="309"/>
      <c r="B8" s="301"/>
      <c r="C8" s="41" t="s">
        <v>26</v>
      </c>
      <c r="D8" s="225" t="s">
        <v>537</v>
      </c>
      <c r="E8" s="239" t="s">
        <v>202</v>
      </c>
      <c r="F8" s="240" t="s">
        <v>940</v>
      </c>
    </row>
    <row r="9" spans="1:6" x14ac:dyDescent="0.2">
      <c r="A9" s="309"/>
      <c r="B9" s="301"/>
      <c r="C9" s="41" t="s">
        <v>27</v>
      </c>
      <c r="D9" s="225" t="s">
        <v>538</v>
      </c>
      <c r="E9" s="239" t="s">
        <v>202</v>
      </c>
      <c r="F9" s="240" t="s">
        <v>940</v>
      </c>
    </row>
    <row r="10" spans="1:6" x14ac:dyDescent="0.2">
      <c r="A10" s="309"/>
      <c r="B10" s="301"/>
      <c r="C10" s="41" t="s">
        <v>28</v>
      </c>
      <c r="D10" s="225" t="s">
        <v>539</v>
      </c>
      <c r="E10" s="239" t="s">
        <v>202</v>
      </c>
      <c r="F10" s="240" t="s">
        <v>940</v>
      </c>
    </row>
    <row r="11" spans="1:6" x14ac:dyDescent="0.2">
      <c r="A11" s="309"/>
      <c r="B11" s="301" t="s">
        <v>29</v>
      </c>
      <c r="C11" s="41" t="s">
        <v>25</v>
      </c>
      <c r="D11" s="225" t="s">
        <v>540</v>
      </c>
      <c r="E11" s="239" t="s">
        <v>202</v>
      </c>
      <c r="F11" s="240" t="s">
        <v>940</v>
      </c>
    </row>
    <row r="12" spans="1:6" x14ac:dyDescent="0.2">
      <c r="A12" s="309"/>
      <c r="B12" s="301"/>
      <c r="C12" s="41" t="s">
        <v>26</v>
      </c>
      <c r="D12" s="225" t="s">
        <v>541</v>
      </c>
      <c r="E12" s="239" t="s">
        <v>202</v>
      </c>
      <c r="F12" s="240" t="s">
        <v>940</v>
      </c>
    </row>
    <row r="13" spans="1:6" x14ac:dyDescent="0.2">
      <c r="A13" s="309"/>
      <c r="B13" s="301"/>
      <c r="C13" s="41" t="s">
        <v>27</v>
      </c>
      <c r="D13" s="225" t="s">
        <v>542</v>
      </c>
      <c r="E13" s="239" t="s">
        <v>202</v>
      </c>
      <c r="F13" s="240" t="s">
        <v>940</v>
      </c>
    </row>
    <row r="14" spans="1:6" x14ac:dyDescent="0.2">
      <c r="A14" s="309"/>
      <c r="B14" s="301"/>
      <c r="C14" s="41" t="s">
        <v>28</v>
      </c>
      <c r="D14" s="225" t="s">
        <v>543</v>
      </c>
      <c r="E14" s="239" t="s">
        <v>202</v>
      </c>
      <c r="F14" s="240" t="s">
        <v>940</v>
      </c>
    </row>
    <row r="15" spans="1:6" x14ac:dyDescent="0.2">
      <c r="A15" s="309"/>
      <c r="B15" s="301" t="s">
        <v>30</v>
      </c>
      <c r="C15" s="301"/>
      <c r="D15" s="225" t="s">
        <v>544</v>
      </c>
      <c r="E15" s="239" t="s">
        <v>202</v>
      </c>
      <c r="F15" s="240" t="s">
        <v>940</v>
      </c>
    </row>
    <row r="16" spans="1:6" x14ac:dyDescent="0.2">
      <c r="A16" s="309"/>
      <c r="B16" s="301" t="s">
        <v>31</v>
      </c>
      <c r="C16" s="41" t="s">
        <v>32</v>
      </c>
      <c r="D16" s="300" t="s">
        <v>545</v>
      </c>
      <c r="E16" s="296" t="s">
        <v>202</v>
      </c>
      <c r="F16" s="240" t="s">
        <v>940</v>
      </c>
    </row>
    <row r="17" spans="1:6" x14ac:dyDescent="0.2">
      <c r="A17" s="309"/>
      <c r="B17" s="301"/>
      <c r="C17" s="41" t="s">
        <v>33</v>
      </c>
      <c r="D17" s="300"/>
      <c r="E17" s="296"/>
      <c r="F17" s="240" t="s">
        <v>940</v>
      </c>
    </row>
    <row r="18" spans="1:6" x14ac:dyDescent="0.2">
      <c r="A18" s="309"/>
      <c r="B18" s="301"/>
      <c r="C18" s="41" t="s">
        <v>34</v>
      </c>
      <c r="D18" s="300"/>
      <c r="E18" s="296"/>
      <c r="F18" s="240" t="s">
        <v>940</v>
      </c>
    </row>
    <row r="19" spans="1:6" x14ac:dyDescent="0.2">
      <c r="A19" s="309"/>
      <c r="B19" s="301" t="s">
        <v>35</v>
      </c>
      <c r="C19" s="41" t="s">
        <v>36</v>
      </c>
      <c r="D19" s="297" t="s">
        <v>335</v>
      </c>
      <c r="E19" s="298"/>
      <c r="F19" s="299"/>
    </row>
    <row r="20" spans="1:6" x14ac:dyDescent="0.2">
      <c r="A20" s="309"/>
      <c r="B20" s="301"/>
      <c r="C20" s="41" t="s">
        <v>37</v>
      </c>
      <c r="D20" s="297" t="s">
        <v>335</v>
      </c>
      <c r="E20" s="298"/>
      <c r="F20" s="299"/>
    </row>
    <row r="21" spans="1:6" x14ac:dyDescent="0.2">
      <c r="A21" s="309"/>
      <c r="B21" s="301"/>
      <c r="C21" s="41" t="s">
        <v>38</v>
      </c>
      <c r="D21" s="297" t="s">
        <v>335</v>
      </c>
      <c r="E21" s="298"/>
      <c r="F21" s="299"/>
    </row>
    <row r="22" spans="1:6" x14ac:dyDescent="0.2">
      <c r="A22" s="309"/>
      <c r="B22" s="301"/>
      <c r="C22" s="41" t="s">
        <v>39</v>
      </c>
      <c r="D22" s="297" t="s">
        <v>335</v>
      </c>
      <c r="E22" s="298"/>
      <c r="F22" s="299"/>
    </row>
    <row r="23" spans="1:6" x14ac:dyDescent="0.2">
      <c r="A23" s="309"/>
      <c r="B23" s="41" t="s">
        <v>40</v>
      </c>
      <c r="C23" s="41" t="s">
        <v>41</v>
      </c>
      <c r="D23" s="54" t="s">
        <v>590</v>
      </c>
      <c r="E23" s="239"/>
      <c r="F23" s="248"/>
    </row>
    <row r="24" spans="1:6" x14ac:dyDescent="0.2">
      <c r="A24" s="309"/>
      <c r="B24" s="41" t="s">
        <v>42</v>
      </c>
      <c r="C24" s="41" t="s">
        <v>43</v>
      </c>
      <c r="D24" s="297" t="s">
        <v>335</v>
      </c>
      <c r="E24" s="298"/>
      <c r="F24" s="299"/>
    </row>
    <row r="25" spans="1:6" x14ac:dyDescent="0.2">
      <c r="A25" s="309"/>
      <c r="B25" s="41" t="s">
        <v>44</v>
      </c>
      <c r="C25" s="41" t="s">
        <v>45</v>
      </c>
      <c r="D25" s="297" t="s">
        <v>335</v>
      </c>
      <c r="E25" s="298"/>
      <c r="F25" s="299"/>
    </row>
    <row r="26" spans="1:6" x14ac:dyDescent="0.2">
      <c r="A26" s="309"/>
      <c r="B26" s="301" t="s">
        <v>268</v>
      </c>
      <c r="C26" s="232" t="s">
        <v>497</v>
      </c>
      <c r="D26" s="225" t="s">
        <v>498</v>
      </c>
      <c r="E26" s="239" t="s">
        <v>202</v>
      </c>
      <c r="F26" s="240" t="s">
        <v>940</v>
      </c>
    </row>
    <row r="27" spans="1:6" x14ac:dyDescent="0.2">
      <c r="A27" s="309"/>
      <c r="B27" s="301"/>
      <c r="C27" s="232" t="s">
        <v>496</v>
      </c>
      <c r="D27" s="225" t="s">
        <v>496</v>
      </c>
      <c r="E27" s="239" t="s">
        <v>202</v>
      </c>
      <c r="F27" s="240" t="s">
        <v>940</v>
      </c>
    </row>
    <row r="28" spans="1:6" x14ac:dyDescent="0.2">
      <c r="A28" s="309"/>
      <c r="B28" s="301"/>
      <c r="C28" s="232" t="s">
        <v>495</v>
      </c>
      <c r="D28" s="225" t="s">
        <v>499</v>
      </c>
      <c r="E28" s="239" t="s">
        <v>202</v>
      </c>
      <c r="F28" s="240" t="s">
        <v>940</v>
      </c>
    </row>
    <row r="29" spans="1:6" x14ac:dyDescent="0.2">
      <c r="A29" s="309"/>
      <c r="B29" s="301"/>
      <c r="C29" s="232" t="s">
        <v>494</v>
      </c>
      <c r="D29" s="225" t="s">
        <v>500</v>
      </c>
      <c r="E29" s="239" t="s">
        <v>202</v>
      </c>
      <c r="F29" s="240" t="s">
        <v>940</v>
      </c>
    </row>
    <row r="30" spans="1:6" x14ac:dyDescent="0.2">
      <c r="A30" s="309"/>
      <c r="B30" s="301"/>
      <c r="C30" s="232" t="s">
        <v>493</v>
      </c>
      <c r="D30" s="225" t="s">
        <v>501</v>
      </c>
      <c r="E30" s="239" t="s">
        <v>202</v>
      </c>
      <c r="F30" s="240" t="s">
        <v>940</v>
      </c>
    </row>
    <row r="31" spans="1:6" x14ac:dyDescent="0.2">
      <c r="A31" s="309"/>
      <c r="B31" s="301"/>
      <c r="C31" s="232" t="s">
        <v>492</v>
      </c>
      <c r="D31" s="225" t="s">
        <v>502</v>
      </c>
      <c r="E31" s="239" t="s">
        <v>202</v>
      </c>
      <c r="F31" s="240" t="s">
        <v>940</v>
      </c>
    </row>
    <row r="32" spans="1:6" x14ac:dyDescent="0.2">
      <c r="A32" s="309"/>
      <c r="B32" s="301"/>
      <c r="C32" s="232" t="s">
        <v>491</v>
      </c>
      <c r="D32" s="225" t="s">
        <v>503</v>
      </c>
      <c r="E32" s="239" t="s">
        <v>202</v>
      </c>
      <c r="F32" s="240" t="s">
        <v>940</v>
      </c>
    </row>
    <row r="33" spans="1:6" x14ac:dyDescent="0.2">
      <c r="A33" s="309"/>
      <c r="B33" s="301"/>
      <c r="C33" s="232" t="s">
        <v>490</v>
      </c>
      <c r="D33" s="225" t="s">
        <v>504</v>
      </c>
      <c r="E33" s="239" t="s">
        <v>202</v>
      </c>
      <c r="F33" s="240" t="s">
        <v>940</v>
      </c>
    </row>
    <row r="34" spans="1:6" x14ac:dyDescent="0.2">
      <c r="A34" s="309"/>
      <c r="B34" s="301"/>
      <c r="C34" s="232" t="s">
        <v>489</v>
      </c>
      <c r="D34" s="225" t="s">
        <v>505</v>
      </c>
      <c r="E34" s="239" t="s">
        <v>202</v>
      </c>
      <c r="F34" s="240" t="s">
        <v>940</v>
      </c>
    </row>
    <row r="35" spans="1:6" x14ac:dyDescent="0.2">
      <c r="A35" s="309"/>
      <c r="B35" s="301"/>
      <c r="C35" s="232" t="s">
        <v>488</v>
      </c>
      <c r="D35" s="225" t="s">
        <v>506</v>
      </c>
      <c r="E35" s="239" t="s">
        <v>202</v>
      </c>
      <c r="F35" s="240" t="s">
        <v>940</v>
      </c>
    </row>
    <row r="36" spans="1:6" x14ac:dyDescent="0.2">
      <c r="A36" s="309"/>
      <c r="B36" s="301"/>
      <c r="C36" s="232" t="s">
        <v>487</v>
      </c>
      <c r="D36" s="225" t="s">
        <v>507</v>
      </c>
      <c r="E36" s="239" t="s">
        <v>202</v>
      </c>
      <c r="F36" s="240" t="s">
        <v>940</v>
      </c>
    </row>
    <row r="37" spans="1:6" x14ac:dyDescent="0.2">
      <c r="A37" s="309"/>
      <c r="B37" s="301"/>
      <c r="C37" s="232" t="s">
        <v>486</v>
      </c>
      <c r="D37" s="225" t="s">
        <v>508</v>
      </c>
      <c r="E37" s="239" t="s">
        <v>202</v>
      </c>
      <c r="F37" s="240" t="s">
        <v>940</v>
      </c>
    </row>
    <row r="38" spans="1:6" x14ac:dyDescent="0.2">
      <c r="A38" s="309"/>
      <c r="B38" s="301"/>
      <c r="C38" s="232" t="s">
        <v>485</v>
      </c>
      <c r="D38" s="225" t="s">
        <v>509</v>
      </c>
      <c r="E38" s="239" t="s">
        <v>202</v>
      </c>
      <c r="F38" s="240" t="s">
        <v>940</v>
      </c>
    </row>
    <row r="39" spans="1:6" x14ac:dyDescent="0.2">
      <c r="A39" s="309"/>
      <c r="B39" s="301"/>
      <c r="C39" s="232" t="s">
        <v>484</v>
      </c>
      <c r="D39" s="225" t="s">
        <v>510</v>
      </c>
      <c r="E39" s="239" t="s">
        <v>202</v>
      </c>
      <c r="F39" s="240" t="s">
        <v>940</v>
      </c>
    </row>
    <row r="40" spans="1:6" x14ac:dyDescent="0.2">
      <c r="A40" s="309"/>
      <c r="B40" s="301"/>
      <c r="C40" s="232" t="s">
        <v>483</v>
      </c>
      <c r="D40" s="225" t="s">
        <v>511</v>
      </c>
      <c r="E40" s="239" t="s">
        <v>202</v>
      </c>
      <c r="F40" s="240" t="s">
        <v>940</v>
      </c>
    </row>
    <row r="41" spans="1:6" x14ac:dyDescent="0.2">
      <c r="A41" s="309"/>
      <c r="B41" s="301"/>
      <c r="C41" s="232" t="s">
        <v>482</v>
      </c>
      <c r="D41" s="225" t="s">
        <v>512</v>
      </c>
      <c r="E41" s="239" t="s">
        <v>202</v>
      </c>
      <c r="F41" s="240" t="s">
        <v>940</v>
      </c>
    </row>
    <row r="42" spans="1:6" x14ac:dyDescent="0.2">
      <c r="A42" s="309"/>
      <c r="B42" s="301"/>
      <c r="C42" s="232" t="s">
        <v>481</v>
      </c>
      <c r="D42" s="225" t="s">
        <v>513</v>
      </c>
      <c r="E42" s="239" t="s">
        <v>202</v>
      </c>
      <c r="F42" s="240" t="s">
        <v>940</v>
      </c>
    </row>
    <row r="43" spans="1:6" x14ac:dyDescent="0.2">
      <c r="A43" s="309"/>
      <c r="B43" s="301"/>
      <c r="C43" s="232" t="s">
        <v>480</v>
      </c>
      <c r="D43" s="225" t="s">
        <v>514</v>
      </c>
      <c r="E43" s="239" t="s">
        <v>202</v>
      </c>
      <c r="F43" s="240" t="s">
        <v>940</v>
      </c>
    </row>
    <row r="44" spans="1:6" x14ac:dyDescent="0.2">
      <c r="A44" s="309"/>
      <c r="B44" s="301"/>
      <c r="C44" s="232" t="s">
        <v>479</v>
      </c>
      <c r="D44" s="225" t="s">
        <v>515</v>
      </c>
      <c r="E44" s="239" t="s">
        <v>202</v>
      </c>
      <c r="F44" s="240" t="s">
        <v>940</v>
      </c>
    </row>
    <row r="45" spans="1:6" x14ac:dyDescent="0.2">
      <c r="A45" s="309"/>
      <c r="B45" s="301"/>
      <c r="C45" s="232" t="s">
        <v>478</v>
      </c>
      <c r="D45" s="225" t="s">
        <v>516</v>
      </c>
      <c r="E45" s="239" t="s">
        <v>202</v>
      </c>
      <c r="F45" s="240" t="s">
        <v>940</v>
      </c>
    </row>
    <row r="46" spans="1:6" x14ac:dyDescent="0.2">
      <c r="A46" s="309"/>
      <c r="B46" s="301"/>
      <c r="C46" s="232" t="s">
        <v>477</v>
      </c>
      <c r="D46" s="225" t="s">
        <v>517</v>
      </c>
      <c r="E46" s="239" t="s">
        <v>202</v>
      </c>
      <c r="F46" s="240" t="s">
        <v>940</v>
      </c>
    </row>
    <row r="47" spans="1:6" x14ac:dyDescent="0.2">
      <c r="A47" s="309"/>
      <c r="B47" s="301"/>
      <c r="C47" s="232" t="s">
        <v>476</v>
      </c>
      <c r="D47" s="225" t="s">
        <v>518</v>
      </c>
      <c r="E47" s="239" t="s">
        <v>202</v>
      </c>
      <c r="F47" s="240" t="s">
        <v>940</v>
      </c>
    </row>
    <row r="48" spans="1:6" x14ac:dyDescent="0.2">
      <c r="A48" s="309"/>
      <c r="B48" s="301"/>
      <c r="C48" s="232" t="s">
        <v>475</v>
      </c>
      <c r="D48" s="225" t="s">
        <v>519</v>
      </c>
      <c r="E48" s="239" t="s">
        <v>202</v>
      </c>
      <c r="F48" s="240" t="s">
        <v>940</v>
      </c>
    </row>
    <row r="49" spans="1:6" x14ac:dyDescent="0.2">
      <c r="A49" s="309"/>
      <c r="B49" s="301"/>
      <c r="C49" s="232" t="s">
        <v>474</v>
      </c>
      <c r="D49" s="225" t="s">
        <v>520</v>
      </c>
      <c r="E49" s="239" t="s">
        <v>202</v>
      </c>
      <c r="F49" s="240" t="s">
        <v>940</v>
      </c>
    </row>
    <row r="50" spans="1:6" x14ac:dyDescent="0.2">
      <c r="A50" s="309"/>
      <c r="B50" s="301"/>
      <c r="C50" s="232" t="s">
        <v>473</v>
      </c>
      <c r="D50" s="225" t="s">
        <v>521</v>
      </c>
      <c r="E50" s="239" t="s">
        <v>202</v>
      </c>
      <c r="F50" s="240" t="s">
        <v>940</v>
      </c>
    </row>
    <row r="51" spans="1:6" x14ac:dyDescent="0.2">
      <c r="A51" s="309"/>
      <c r="B51" s="301"/>
      <c r="C51" s="232" t="s">
        <v>472</v>
      </c>
      <c r="D51" s="225" t="s">
        <v>522</v>
      </c>
      <c r="E51" s="239" t="s">
        <v>202</v>
      </c>
      <c r="F51" s="240" t="s">
        <v>940</v>
      </c>
    </row>
    <row r="52" spans="1:6" x14ac:dyDescent="0.2">
      <c r="A52" s="309"/>
      <c r="B52" s="301"/>
      <c r="C52" s="232" t="s">
        <v>471</v>
      </c>
      <c r="D52" s="225" t="s">
        <v>523</v>
      </c>
      <c r="E52" s="239" t="s">
        <v>202</v>
      </c>
      <c r="F52" s="240" t="s">
        <v>940</v>
      </c>
    </row>
    <row r="53" spans="1:6" x14ac:dyDescent="0.2">
      <c r="A53" s="309"/>
      <c r="B53" s="301"/>
      <c r="C53" s="232" t="s">
        <v>470</v>
      </c>
      <c r="D53" s="225" t="s">
        <v>524</v>
      </c>
      <c r="E53" s="239" t="s">
        <v>202</v>
      </c>
      <c r="F53" s="240" t="s">
        <v>940</v>
      </c>
    </row>
    <row r="54" spans="1:6" x14ac:dyDescent="0.2">
      <c r="A54" s="309"/>
      <c r="B54" s="301"/>
      <c r="C54" s="232" t="s">
        <v>469</v>
      </c>
      <c r="D54" s="225" t="s">
        <v>525</v>
      </c>
      <c r="E54" s="239" t="s">
        <v>202</v>
      </c>
      <c r="F54" s="240" t="s">
        <v>940</v>
      </c>
    </row>
    <row r="55" spans="1:6" x14ac:dyDescent="0.2">
      <c r="A55" s="309"/>
      <c r="B55" s="301"/>
      <c r="C55" s="232" t="s">
        <v>468</v>
      </c>
      <c r="D55" s="225" t="s">
        <v>526</v>
      </c>
      <c r="E55" s="239" t="s">
        <v>202</v>
      </c>
      <c r="F55" s="240" t="s">
        <v>940</v>
      </c>
    </row>
    <row r="56" spans="1:6" x14ac:dyDescent="0.2">
      <c r="A56" s="309"/>
      <c r="B56" s="301"/>
      <c r="C56" s="232" t="s">
        <v>467</v>
      </c>
      <c r="D56" s="225" t="s">
        <v>527</v>
      </c>
      <c r="E56" s="239" t="s">
        <v>202</v>
      </c>
      <c r="F56" s="240" t="s">
        <v>940</v>
      </c>
    </row>
    <row r="57" spans="1:6" x14ac:dyDescent="0.2">
      <c r="A57" s="309"/>
      <c r="B57" s="301"/>
      <c r="C57" s="232" t="s">
        <v>466</v>
      </c>
      <c r="D57" s="225" t="s">
        <v>528</v>
      </c>
      <c r="E57" s="239" t="s">
        <v>202</v>
      </c>
      <c r="F57" s="240" t="s">
        <v>940</v>
      </c>
    </row>
    <row r="58" spans="1:6" x14ac:dyDescent="0.2">
      <c r="A58" s="309"/>
      <c r="B58" s="301"/>
      <c r="C58" s="232" t="s">
        <v>465</v>
      </c>
      <c r="D58" s="225" t="s">
        <v>529</v>
      </c>
      <c r="E58" s="239" t="s">
        <v>202</v>
      </c>
      <c r="F58" s="240" t="s">
        <v>940</v>
      </c>
    </row>
    <row r="59" spans="1:6" x14ac:dyDescent="0.2">
      <c r="A59" s="309"/>
      <c r="B59" s="301"/>
      <c r="C59" s="232" t="s">
        <v>464</v>
      </c>
      <c r="D59" s="225" t="s">
        <v>530</v>
      </c>
      <c r="E59" s="239" t="s">
        <v>202</v>
      </c>
      <c r="F59" s="240" t="s">
        <v>940</v>
      </c>
    </row>
    <row r="60" spans="1:6" x14ac:dyDescent="0.2">
      <c r="A60" s="309"/>
      <c r="B60" s="301"/>
      <c r="C60" s="232" t="s">
        <v>463</v>
      </c>
      <c r="D60" s="225" t="s">
        <v>531</v>
      </c>
      <c r="E60" s="239" t="s">
        <v>202</v>
      </c>
      <c r="F60" s="240" t="s">
        <v>940</v>
      </c>
    </row>
    <row r="61" spans="1:6" x14ac:dyDescent="0.2">
      <c r="A61" s="309"/>
      <c r="B61" s="301"/>
      <c r="C61" s="232" t="s">
        <v>462</v>
      </c>
      <c r="D61" s="225" t="s">
        <v>532</v>
      </c>
      <c r="E61" s="239" t="s">
        <v>202</v>
      </c>
      <c r="F61" s="240" t="s">
        <v>940</v>
      </c>
    </row>
    <row r="62" spans="1:6" ht="13.5" thickBot="1" x14ac:dyDescent="0.25">
      <c r="A62" s="310"/>
      <c r="B62" s="303"/>
      <c r="C62" s="233" t="s">
        <v>461</v>
      </c>
      <c r="D62" s="249" t="s">
        <v>533</v>
      </c>
      <c r="E62" s="243" t="s">
        <v>202</v>
      </c>
      <c r="F62" s="244" t="s">
        <v>940</v>
      </c>
    </row>
    <row r="63" spans="1:6" ht="15.75" x14ac:dyDescent="0.2">
      <c r="B63" s="36"/>
      <c r="C63" s="36"/>
    </row>
    <row r="64" spans="1:6" ht="16.5" thickBot="1" x14ac:dyDescent="0.25">
      <c r="B64" s="36"/>
      <c r="C64" s="36"/>
    </row>
    <row r="65" spans="1:6" x14ac:dyDescent="0.2">
      <c r="A65" s="305" t="s">
        <v>46</v>
      </c>
      <c r="B65" s="304" t="s">
        <v>1</v>
      </c>
      <c r="C65" s="304"/>
      <c r="D65" s="56" t="s">
        <v>534</v>
      </c>
      <c r="E65" s="237" t="s">
        <v>202</v>
      </c>
      <c r="F65" s="238" t="s">
        <v>939</v>
      </c>
    </row>
    <row r="66" spans="1:6" x14ac:dyDescent="0.2">
      <c r="A66" s="306"/>
      <c r="B66" s="220" t="s">
        <v>47</v>
      </c>
      <c r="C66" s="220" t="s">
        <v>48</v>
      </c>
      <c r="D66" s="55" t="s">
        <v>552</v>
      </c>
      <c r="E66" s="239" t="s">
        <v>202</v>
      </c>
      <c r="F66" s="240" t="s">
        <v>939</v>
      </c>
    </row>
    <row r="67" spans="1:6" x14ac:dyDescent="0.2">
      <c r="A67" s="313"/>
      <c r="B67" s="280" t="s">
        <v>49</v>
      </c>
      <c r="C67" s="280"/>
      <c r="D67" s="55" t="s">
        <v>553</v>
      </c>
      <c r="E67" s="239" t="s">
        <v>202</v>
      </c>
      <c r="F67" s="240" t="s">
        <v>939</v>
      </c>
    </row>
    <row r="68" spans="1:6" x14ac:dyDescent="0.2">
      <c r="A68" s="313"/>
      <c r="B68" s="280" t="s">
        <v>50</v>
      </c>
      <c r="C68" s="280"/>
      <c r="D68" s="220" t="s">
        <v>335</v>
      </c>
      <c r="E68" s="241"/>
      <c r="F68" s="242"/>
    </row>
    <row r="69" spans="1:6" x14ac:dyDescent="0.2">
      <c r="A69" s="313"/>
      <c r="B69" s="280" t="s">
        <v>51</v>
      </c>
      <c r="C69" s="280"/>
      <c r="D69" s="220" t="s">
        <v>335</v>
      </c>
      <c r="E69" s="241"/>
      <c r="F69" s="242"/>
    </row>
    <row r="70" spans="1:6" x14ac:dyDescent="0.2">
      <c r="A70" s="313"/>
      <c r="B70" s="280" t="s">
        <v>52</v>
      </c>
      <c r="C70" s="280"/>
      <c r="D70" s="220" t="s">
        <v>335</v>
      </c>
      <c r="E70" s="241"/>
      <c r="F70" s="242"/>
    </row>
    <row r="71" spans="1:6" x14ac:dyDescent="0.2">
      <c r="A71" s="313"/>
      <c r="B71" s="280" t="s">
        <v>53</v>
      </c>
      <c r="C71" s="280"/>
      <c r="D71" s="55" t="s">
        <v>554</v>
      </c>
      <c r="E71" s="239" t="s">
        <v>202</v>
      </c>
      <c r="F71" s="240" t="s">
        <v>939</v>
      </c>
    </row>
    <row r="72" spans="1:6" x14ac:dyDescent="0.2">
      <c r="A72" s="313"/>
      <c r="B72" s="280" t="s">
        <v>54</v>
      </c>
      <c r="C72" s="280"/>
      <c r="D72" s="55" t="s">
        <v>555</v>
      </c>
      <c r="E72" s="239" t="s">
        <v>202</v>
      </c>
      <c r="F72" s="240" t="s">
        <v>939</v>
      </c>
    </row>
    <row r="73" spans="1:6" x14ac:dyDescent="0.2">
      <c r="A73" s="313"/>
      <c r="B73" s="280" t="s">
        <v>55</v>
      </c>
      <c r="C73" s="280"/>
      <c r="D73" s="55" t="s">
        <v>556</v>
      </c>
      <c r="E73" s="239" t="s">
        <v>202</v>
      </c>
      <c r="F73" s="240" t="s">
        <v>939</v>
      </c>
    </row>
    <row r="74" spans="1:6" x14ac:dyDescent="0.2">
      <c r="A74" s="313"/>
      <c r="B74" s="280" t="s">
        <v>56</v>
      </c>
      <c r="C74" s="280"/>
      <c r="D74" s="220" t="s">
        <v>335</v>
      </c>
      <c r="E74" s="241"/>
      <c r="F74" s="242"/>
    </row>
    <row r="75" spans="1:6" x14ac:dyDescent="0.2">
      <c r="A75" s="313"/>
      <c r="B75" s="280" t="s">
        <v>57</v>
      </c>
      <c r="C75" s="280"/>
      <c r="D75" s="220" t="s">
        <v>335</v>
      </c>
      <c r="E75" s="241"/>
      <c r="F75" s="242"/>
    </row>
    <row r="76" spans="1:6" x14ac:dyDescent="0.2">
      <c r="A76" s="313"/>
      <c r="B76" s="280" t="s">
        <v>58</v>
      </c>
      <c r="C76" s="280"/>
      <c r="D76" s="55" t="s">
        <v>546</v>
      </c>
      <c r="E76" s="239" t="s">
        <v>202</v>
      </c>
      <c r="F76" s="240" t="s">
        <v>939</v>
      </c>
    </row>
    <row r="77" spans="1:6" x14ac:dyDescent="0.2">
      <c r="A77" s="313"/>
      <c r="B77" s="317" t="s">
        <v>268</v>
      </c>
      <c r="C77" s="232" t="s">
        <v>460</v>
      </c>
      <c r="D77" s="55" t="s">
        <v>547</v>
      </c>
      <c r="E77" s="239" t="s">
        <v>202</v>
      </c>
      <c r="F77" s="240" t="s">
        <v>939</v>
      </c>
    </row>
    <row r="78" spans="1:6" x14ac:dyDescent="0.2">
      <c r="A78" s="313"/>
      <c r="B78" s="317"/>
      <c r="C78" s="232" t="s">
        <v>459</v>
      </c>
      <c r="D78" s="55" t="s">
        <v>548</v>
      </c>
      <c r="E78" s="239" t="s">
        <v>202</v>
      </c>
      <c r="F78" s="240" t="s">
        <v>939</v>
      </c>
    </row>
    <row r="79" spans="1:6" x14ac:dyDescent="0.2">
      <c r="A79" s="313"/>
      <c r="B79" s="317"/>
      <c r="C79" s="232" t="s">
        <v>458</v>
      </c>
      <c r="D79" s="55" t="s">
        <v>557</v>
      </c>
      <c r="E79" s="239" t="s">
        <v>202</v>
      </c>
      <c r="F79" s="240" t="s">
        <v>939</v>
      </c>
    </row>
    <row r="80" spans="1:6" x14ac:dyDescent="0.2">
      <c r="A80" s="313"/>
      <c r="B80" s="317"/>
      <c r="C80" s="232" t="s">
        <v>457</v>
      </c>
      <c r="D80" s="55" t="s">
        <v>558</v>
      </c>
      <c r="E80" s="239" t="s">
        <v>202</v>
      </c>
      <c r="F80" s="240" t="s">
        <v>939</v>
      </c>
    </row>
    <row r="81" spans="1:6" x14ac:dyDescent="0.2">
      <c r="A81" s="313"/>
      <c r="B81" s="317"/>
      <c r="C81" s="232" t="s">
        <v>456</v>
      </c>
      <c r="D81" s="55" t="s">
        <v>549</v>
      </c>
      <c r="E81" s="239" t="s">
        <v>202</v>
      </c>
      <c r="F81" s="240" t="s">
        <v>939</v>
      </c>
    </row>
    <row r="82" spans="1:6" x14ac:dyDescent="0.2">
      <c r="A82" s="313"/>
      <c r="B82" s="317"/>
      <c r="C82" s="232" t="s">
        <v>455</v>
      </c>
      <c r="D82" s="55" t="s">
        <v>455</v>
      </c>
      <c r="E82" s="239" t="s">
        <v>202</v>
      </c>
      <c r="F82" s="240" t="s">
        <v>939</v>
      </c>
    </row>
    <row r="83" spans="1:6" x14ac:dyDescent="0.2">
      <c r="A83" s="313"/>
      <c r="B83" s="317"/>
      <c r="C83" s="232" t="s">
        <v>454</v>
      </c>
      <c r="D83" s="55" t="s">
        <v>454</v>
      </c>
      <c r="E83" s="239" t="s">
        <v>202</v>
      </c>
      <c r="F83" s="240" t="s">
        <v>939</v>
      </c>
    </row>
    <row r="84" spans="1:6" x14ac:dyDescent="0.2">
      <c r="A84" s="313"/>
      <c r="B84" s="317"/>
      <c r="C84" s="232" t="s">
        <v>453</v>
      </c>
      <c r="D84" s="55" t="s">
        <v>453</v>
      </c>
      <c r="E84" s="239" t="s">
        <v>202</v>
      </c>
      <c r="F84" s="240" t="s">
        <v>939</v>
      </c>
    </row>
    <row r="85" spans="1:6" x14ac:dyDescent="0.2">
      <c r="A85" s="313"/>
      <c r="B85" s="317"/>
      <c r="C85" s="232" t="s">
        <v>452</v>
      </c>
      <c r="D85" s="55" t="s">
        <v>452</v>
      </c>
      <c r="E85" s="239" t="s">
        <v>202</v>
      </c>
      <c r="F85" s="240" t="s">
        <v>939</v>
      </c>
    </row>
    <row r="86" spans="1:6" x14ac:dyDescent="0.2">
      <c r="A86" s="313"/>
      <c r="B86" s="317"/>
      <c r="C86" s="232" t="s">
        <v>451</v>
      </c>
      <c r="D86" s="55" t="s">
        <v>550</v>
      </c>
      <c r="E86" s="239" t="s">
        <v>202</v>
      </c>
      <c r="F86" s="240" t="s">
        <v>939</v>
      </c>
    </row>
    <row r="87" spans="1:6" ht="13.5" thickBot="1" x14ac:dyDescent="0.25">
      <c r="A87" s="314"/>
      <c r="B87" s="318"/>
      <c r="C87" s="233" t="s">
        <v>450</v>
      </c>
      <c r="D87" s="57" t="s">
        <v>551</v>
      </c>
      <c r="E87" s="243" t="s">
        <v>202</v>
      </c>
      <c r="F87" s="244" t="s">
        <v>939</v>
      </c>
    </row>
    <row r="88" spans="1:6" ht="15.75" x14ac:dyDescent="0.2">
      <c r="B88" s="36"/>
    </row>
    <row r="89" spans="1:6" ht="16.5" thickBot="1" x14ac:dyDescent="0.25">
      <c r="B89" s="36"/>
      <c r="C89" s="36"/>
    </row>
    <row r="90" spans="1:6" x14ac:dyDescent="0.2">
      <c r="A90" s="305" t="s">
        <v>269</v>
      </c>
      <c r="B90" s="304" t="s">
        <v>1</v>
      </c>
      <c r="C90" s="304"/>
      <c r="D90" s="56" t="s">
        <v>569</v>
      </c>
      <c r="E90" s="237" t="s">
        <v>202</v>
      </c>
      <c r="F90" s="238" t="s">
        <v>941</v>
      </c>
    </row>
    <row r="91" spans="1:6" x14ac:dyDescent="0.2">
      <c r="A91" s="306"/>
      <c r="B91" s="280" t="s">
        <v>59</v>
      </c>
      <c r="C91" s="220" t="s">
        <v>270</v>
      </c>
      <c r="D91" s="58" t="s">
        <v>589</v>
      </c>
      <c r="E91" s="239" t="s">
        <v>202</v>
      </c>
      <c r="F91" s="240" t="s">
        <v>942</v>
      </c>
    </row>
    <row r="92" spans="1:6" x14ac:dyDescent="0.2">
      <c r="A92" s="306"/>
      <c r="B92" s="281"/>
      <c r="C92" s="220" t="s">
        <v>271</v>
      </c>
      <c r="D92" s="58" t="s">
        <v>589</v>
      </c>
      <c r="E92" s="239" t="s">
        <v>202</v>
      </c>
      <c r="F92" s="240" t="s">
        <v>942</v>
      </c>
    </row>
    <row r="93" spans="1:6" x14ac:dyDescent="0.2">
      <c r="A93" s="306"/>
      <c r="B93" s="281"/>
      <c r="C93" s="220" t="s">
        <v>272</v>
      </c>
      <c r="D93" s="58" t="s">
        <v>589</v>
      </c>
      <c r="E93" s="239" t="s">
        <v>202</v>
      </c>
      <c r="F93" s="240" t="s">
        <v>942</v>
      </c>
    </row>
    <row r="94" spans="1:6" x14ac:dyDescent="0.2">
      <c r="A94" s="306"/>
      <c r="B94" s="281"/>
      <c r="C94" s="220" t="s">
        <v>273</v>
      </c>
      <c r="D94" s="58" t="s">
        <v>589</v>
      </c>
      <c r="E94" s="239" t="s">
        <v>202</v>
      </c>
      <c r="F94" s="240" t="s">
        <v>942</v>
      </c>
    </row>
    <row r="95" spans="1:6" x14ac:dyDescent="0.2">
      <c r="A95" s="306"/>
      <c r="B95" s="281"/>
      <c r="C95" s="220" t="s">
        <v>94</v>
      </c>
      <c r="D95" s="54" t="s">
        <v>590</v>
      </c>
      <c r="E95" s="239" t="s">
        <v>202</v>
      </c>
      <c r="F95" s="240" t="s">
        <v>942</v>
      </c>
    </row>
    <row r="96" spans="1:6" x14ac:dyDescent="0.2">
      <c r="A96" s="306"/>
      <c r="B96" s="281"/>
      <c r="C96" s="220" t="s">
        <v>175</v>
      </c>
      <c r="D96" s="55" t="s">
        <v>569</v>
      </c>
      <c r="E96" s="239" t="s">
        <v>202</v>
      </c>
      <c r="F96" s="240" t="s">
        <v>942</v>
      </c>
    </row>
    <row r="97" spans="1:6" x14ac:dyDescent="0.2">
      <c r="A97" s="306"/>
      <c r="B97" s="281"/>
      <c r="C97" s="220" t="s">
        <v>174</v>
      </c>
      <c r="D97" s="55" t="s">
        <v>569</v>
      </c>
      <c r="E97" s="239" t="s">
        <v>202</v>
      </c>
      <c r="F97" s="240" t="s">
        <v>942</v>
      </c>
    </row>
    <row r="98" spans="1:6" x14ac:dyDescent="0.2">
      <c r="A98" s="306"/>
      <c r="B98" s="281"/>
      <c r="C98" s="220" t="s">
        <v>274</v>
      </c>
      <c r="D98" s="58" t="s">
        <v>589</v>
      </c>
      <c r="E98" s="239"/>
      <c r="F98" s="240"/>
    </row>
    <row r="99" spans="1:6" x14ac:dyDescent="0.2">
      <c r="A99" s="306"/>
      <c r="B99" s="281"/>
      <c r="C99" s="280" t="s">
        <v>275</v>
      </c>
      <c r="D99" s="220" t="s">
        <v>13</v>
      </c>
      <c r="E99" s="239"/>
      <c r="F99" s="240"/>
    </row>
    <row r="100" spans="1:6" x14ac:dyDescent="0.2">
      <c r="A100" s="306"/>
      <c r="B100" s="281"/>
      <c r="C100" s="281"/>
      <c r="D100" s="220" t="s">
        <v>449</v>
      </c>
      <c r="E100" s="239"/>
      <c r="F100" s="240"/>
    </row>
    <row r="101" spans="1:6" x14ac:dyDescent="0.2">
      <c r="A101" s="306"/>
      <c r="B101" s="281"/>
      <c r="C101" s="220" t="s">
        <v>277</v>
      </c>
      <c r="D101" s="54" t="s">
        <v>590</v>
      </c>
      <c r="E101" s="239"/>
      <c r="F101" s="240"/>
    </row>
    <row r="102" spans="1:6" x14ac:dyDescent="0.2">
      <c r="A102" s="306"/>
      <c r="B102" s="281"/>
      <c r="C102" s="220" t="s">
        <v>278</v>
      </c>
      <c r="D102" s="54" t="s">
        <v>590</v>
      </c>
      <c r="E102" s="239"/>
      <c r="F102" s="240"/>
    </row>
    <row r="103" spans="1:6" x14ac:dyDescent="0.2">
      <c r="A103" s="306"/>
      <c r="B103" s="281"/>
      <c r="C103" s="220" t="s">
        <v>279</v>
      </c>
      <c r="D103" s="54" t="s">
        <v>590</v>
      </c>
      <c r="E103" s="239"/>
      <c r="F103" s="240"/>
    </row>
    <row r="104" spans="1:6" x14ac:dyDescent="0.2">
      <c r="A104" s="306"/>
      <c r="B104" s="281"/>
      <c r="C104" s="280" t="s">
        <v>280</v>
      </c>
      <c r="D104" s="220" t="s">
        <v>281</v>
      </c>
      <c r="E104" s="239"/>
      <c r="F104" s="240"/>
    </row>
    <row r="105" spans="1:6" x14ac:dyDescent="0.2">
      <c r="A105" s="306"/>
      <c r="B105" s="281"/>
      <c r="C105" s="281"/>
      <c r="D105" s="220" t="s">
        <v>449</v>
      </c>
      <c r="E105" s="239"/>
      <c r="F105" s="240"/>
    </row>
    <row r="106" spans="1:6" x14ac:dyDescent="0.2">
      <c r="A106" s="306"/>
      <c r="B106" s="281"/>
      <c r="C106" s="220" t="s">
        <v>282</v>
      </c>
      <c r="D106" s="54" t="s">
        <v>590</v>
      </c>
      <c r="E106" s="239"/>
      <c r="F106" s="240"/>
    </row>
    <row r="107" spans="1:6" x14ac:dyDescent="0.2">
      <c r="A107" s="306"/>
      <c r="B107" s="281"/>
      <c r="C107" s="220" t="s">
        <v>283</v>
      </c>
      <c r="D107" s="54" t="s">
        <v>590</v>
      </c>
      <c r="E107" s="239"/>
      <c r="F107" s="240"/>
    </row>
    <row r="108" spans="1:6" x14ac:dyDescent="0.2">
      <c r="A108" s="306"/>
      <c r="B108" s="281"/>
      <c r="C108" s="220" t="s">
        <v>284</v>
      </c>
      <c r="D108" s="54" t="s">
        <v>590</v>
      </c>
      <c r="E108" s="239"/>
      <c r="F108" s="240"/>
    </row>
    <row r="109" spans="1:6" x14ac:dyDescent="0.2">
      <c r="A109" s="306"/>
      <c r="B109" s="281"/>
      <c r="C109" s="220" t="s">
        <v>285</v>
      </c>
      <c r="D109" s="54" t="s">
        <v>590</v>
      </c>
      <c r="E109" s="239"/>
      <c r="F109" s="240"/>
    </row>
    <row r="110" spans="1:6" x14ac:dyDescent="0.2">
      <c r="A110" s="306"/>
      <c r="B110" s="281"/>
      <c r="C110" s="220" t="s">
        <v>286</v>
      </c>
      <c r="D110" s="54" t="s">
        <v>590</v>
      </c>
      <c r="E110" s="239"/>
      <c r="F110" s="240"/>
    </row>
    <row r="111" spans="1:6" x14ac:dyDescent="0.2">
      <c r="A111" s="306"/>
      <c r="B111" s="281"/>
      <c r="C111" s="220" t="s">
        <v>287</v>
      </c>
      <c r="D111" s="54" t="s">
        <v>590</v>
      </c>
      <c r="E111" s="239"/>
      <c r="F111" s="240"/>
    </row>
    <row r="112" spans="1:6" x14ac:dyDescent="0.2">
      <c r="A112" s="306"/>
      <c r="B112" s="281"/>
      <c r="C112" s="220" t="s">
        <v>288</v>
      </c>
      <c r="D112" s="54" t="s">
        <v>590</v>
      </c>
      <c r="E112" s="239"/>
      <c r="F112" s="240" t="s">
        <v>448</v>
      </c>
    </row>
    <row r="113" spans="1:6" x14ac:dyDescent="0.2">
      <c r="A113" s="306"/>
      <c r="B113" s="281"/>
      <c r="C113" s="220" t="s">
        <v>289</v>
      </c>
      <c r="D113" s="54" t="s">
        <v>590</v>
      </c>
      <c r="E113" s="239"/>
      <c r="F113" s="240"/>
    </row>
    <row r="114" spans="1:6" x14ac:dyDescent="0.2">
      <c r="A114" s="306"/>
      <c r="B114" s="281"/>
      <c r="C114" s="220" t="s">
        <v>290</v>
      </c>
      <c r="D114" s="54" t="s">
        <v>590</v>
      </c>
      <c r="E114" s="239"/>
      <c r="F114" s="240"/>
    </row>
    <row r="115" spans="1:6" x14ac:dyDescent="0.2">
      <c r="A115" s="306"/>
      <c r="B115" s="280" t="s">
        <v>268</v>
      </c>
      <c r="C115" s="234" t="s">
        <v>447</v>
      </c>
      <c r="D115" s="55" t="s">
        <v>560</v>
      </c>
      <c r="E115" s="239"/>
      <c r="F115" s="240"/>
    </row>
    <row r="116" spans="1:6" x14ac:dyDescent="0.2">
      <c r="A116" s="306"/>
      <c r="B116" s="280"/>
      <c r="C116" s="234" t="s">
        <v>446</v>
      </c>
      <c r="D116" s="55" t="s">
        <v>559</v>
      </c>
      <c r="E116" s="239" t="s">
        <v>202</v>
      </c>
      <c r="F116" s="240" t="s">
        <v>942</v>
      </c>
    </row>
    <row r="117" spans="1:6" x14ac:dyDescent="0.2">
      <c r="A117" s="306"/>
      <c r="B117" s="280"/>
      <c r="C117" s="234" t="s">
        <v>445</v>
      </c>
      <c r="D117" s="55" t="s">
        <v>570</v>
      </c>
      <c r="E117" s="239" t="s">
        <v>202</v>
      </c>
      <c r="F117" s="240" t="s">
        <v>942</v>
      </c>
    </row>
    <row r="118" spans="1:6" x14ac:dyDescent="0.2">
      <c r="A118" s="306"/>
      <c r="B118" s="280"/>
      <c r="C118" s="234" t="s">
        <v>444</v>
      </c>
      <c r="D118" s="55" t="s">
        <v>571</v>
      </c>
      <c r="E118" s="239" t="s">
        <v>202</v>
      </c>
      <c r="F118" s="240" t="s">
        <v>942</v>
      </c>
    </row>
    <row r="119" spans="1:6" x14ac:dyDescent="0.2">
      <c r="A119" s="306"/>
      <c r="B119" s="280"/>
      <c r="C119" s="234" t="s">
        <v>443</v>
      </c>
      <c r="D119" s="55" t="s">
        <v>561</v>
      </c>
      <c r="E119" s="239" t="s">
        <v>202</v>
      </c>
      <c r="F119" s="240" t="s">
        <v>942</v>
      </c>
    </row>
    <row r="120" spans="1:6" x14ac:dyDescent="0.2">
      <c r="A120" s="306"/>
      <c r="B120" s="280"/>
      <c r="C120" s="234" t="s">
        <v>442</v>
      </c>
      <c r="D120" s="55" t="s">
        <v>562</v>
      </c>
      <c r="E120" s="239" t="s">
        <v>202</v>
      </c>
      <c r="F120" s="240" t="s">
        <v>942</v>
      </c>
    </row>
    <row r="121" spans="1:6" x14ac:dyDescent="0.2">
      <c r="A121" s="306"/>
      <c r="B121" s="280"/>
      <c r="C121" s="234" t="s">
        <v>441</v>
      </c>
      <c r="D121" s="55" t="s">
        <v>563</v>
      </c>
      <c r="E121" s="239" t="s">
        <v>202</v>
      </c>
      <c r="F121" s="240" t="s">
        <v>942</v>
      </c>
    </row>
    <row r="122" spans="1:6" x14ac:dyDescent="0.2">
      <c r="A122" s="306"/>
      <c r="B122" s="280"/>
      <c r="C122" s="234" t="s">
        <v>440</v>
      </c>
      <c r="D122" s="55" t="s">
        <v>564</v>
      </c>
      <c r="E122" s="239" t="s">
        <v>202</v>
      </c>
      <c r="F122" s="240" t="s">
        <v>942</v>
      </c>
    </row>
    <row r="123" spans="1:6" x14ac:dyDescent="0.2">
      <c r="A123" s="306"/>
      <c r="B123" s="280"/>
      <c r="C123" s="234" t="s">
        <v>439</v>
      </c>
      <c r="D123" s="55" t="s">
        <v>572</v>
      </c>
      <c r="E123" s="239" t="s">
        <v>202</v>
      </c>
      <c r="F123" s="240" t="s">
        <v>942</v>
      </c>
    </row>
    <row r="124" spans="1:6" x14ac:dyDescent="0.2">
      <c r="A124" s="306"/>
      <c r="B124" s="280"/>
      <c r="C124" s="234" t="s">
        <v>438</v>
      </c>
      <c r="D124" s="55" t="s">
        <v>573</v>
      </c>
      <c r="E124" s="239"/>
      <c r="F124" s="240"/>
    </row>
    <row r="125" spans="1:6" x14ac:dyDescent="0.2">
      <c r="A125" s="306"/>
      <c r="B125" s="280"/>
      <c r="C125" s="234" t="s">
        <v>437</v>
      </c>
      <c r="D125" s="55" t="s">
        <v>574</v>
      </c>
      <c r="E125" s="239"/>
      <c r="F125" s="240"/>
    </row>
    <row r="126" spans="1:6" x14ac:dyDescent="0.2">
      <c r="A126" s="306"/>
      <c r="B126" s="280"/>
      <c r="C126" s="234" t="s">
        <v>436</v>
      </c>
      <c r="D126" s="55" t="s">
        <v>575</v>
      </c>
      <c r="E126" s="239"/>
      <c r="F126" s="240"/>
    </row>
    <row r="127" spans="1:6" x14ac:dyDescent="0.2">
      <c r="A127" s="306"/>
      <c r="B127" s="280"/>
      <c r="C127" s="234" t="s">
        <v>435</v>
      </c>
      <c r="D127" s="55" t="s">
        <v>576</v>
      </c>
      <c r="E127" s="239"/>
      <c r="F127" s="240"/>
    </row>
    <row r="128" spans="1:6" x14ac:dyDescent="0.2">
      <c r="A128" s="306"/>
      <c r="B128" s="280"/>
      <c r="C128" s="234" t="s">
        <v>434</v>
      </c>
      <c r="D128" s="55" t="s">
        <v>577</v>
      </c>
      <c r="E128" s="239"/>
      <c r="F128" s="240"/>
    </row>
    <row r="129" spans="1:6" x14ac:dyDescent="0.2">
      <c r="A129" s="306"/>
      <c r="B129" s="280"/>
      <c r="C129" s="234" t="s">
        <v>433</v>
      </c>
      <c r="D129" s="55" t="s">
        <v>565</v>
      </c>
      <c r="E129" s="239" t="s">
        <v>202</v>
      </c>
      <c r="F129" s="240" t="s">
        <v>942</v>
      </c>
    </row>
    <row r="130" spans="1:6" x14ac:dyDescent="0.2">
      <c r="A130" s="306"/>
      <c r="B130" s="280"/>
      <c r="C130" s="234" t="s">
        <v>432</v>
      </c>
      <c r="D130" s="55" t="s">
        <v>566</v>
      </c>
      <c r="E130" s="239"/>
      <c r="F130" s="240"/>
    </row>
    <row r="131" spans="1:6" x14ac:dyDescent="0.2">
      <c r="A131" s="306"/>
      <c r="B131" s="280"/>
      <c r="C131" s="234" t="s">
        <v>431</v>
      </c>
      <c r="D131" s="55" t="s">
        <v>578</v>
      </c>
      <c r="E131" s="239"/>
      <c r="F131" s="240"/>
    </row>
    <row r="132" spans="1:6" x14ac:dyDescent="0.2">
      <c r="A132" s="306"/>
      <c r="B132" s="280"/>
      <c r="C132" s="234" t="s">
        <v>430</v>
      </c>
      <c r="D132" s="55" t="s">
        <v>579</v>
      </c>
      <c r="E132" s="239"/>
      <c r="F132" s="240"/>
    </row>
    <row r="133" spans="1:6" x14ac:dyDescent="0.2">
      <c r="A133" s="306"/>
      <c r="B133" s="280"/>
      <c r="C133" s="234" t="s">
        <v>429</v>
      </c>
      <c r="D133" s="55" t="s">
        <v>580</v>
      </c>
      <c r="E133" s="239" t="s">
        <v>202</v>
      </c>
      <c r="F133" s="240" t="s">
        <v>942</v>
      </c>
    </row>
    <row r="134" spans="1:6" x14ac:dyDescent="0.2">
      <c r="A134" s="306"/>
      <c r="B134" s="280"/>
      <c r="C134" s="234" t="s">
        <v>428</v>
      </c>
      <c r="D134" s="55" t="s">
        <v>581</v>
      </c>
      <c r="E134" s="239" t="s">
        <v>202</v>
      </c>
      <c r="F134" s="240" t="s">
        <v>942</v>
      </c>
    </row>
    <row r="135" spans="1:6" x14ac:dyDescent="0.2">
      <c r="A135" s="306"/>
      <c r="B135" s="280"/>
      <c r="C135" s="234" t="s">
        <v>427</v>
      </c>
      <c r="D135" s="55" t="s">
        <v>567</v>
      </c>
      <c r="E135" s="239"/>
      <c r="F135" s="240"/>
    </row>
    <row r="136" spans="1:6" x14ac:dyDescent="0.2">
      <c r="A136" s="306"/>
      <c r="B136" s="280"/>
      <c r="C136" s="234" t="s">
        <v>426</v>
      </c>
      <c r="D136" s="55" t="s">
        <v>582</v>
      </c>
      <c r="E136" s="239"/>
      <c r="F136" s="240"/>
    </row>
    <row r="137" spans="1:6" x14ac:dyDescent="0.2">
      <c r="A137" s="306"/>
      <c r="B137" s="280"/>
      <c r="C137" s="234" t="s">
        <v>425</v>
      </c>
      <c r="D137" s="55" t="s">
        <v>568</v>
      </c>
      <c r="E137" s="239"/>
      <c r="F137" s="240"/>
    </row>
    <row r="138" spans="1:6" x14ac:dyDescent="0.2">
      <c r="A138" s="306"/>
      <c r="B138" s="280"/>
      <c r="C138" s="234" t="s">
        <v>424</v>
      </c>
      <c r="D138" s="55" t="s">
        <v>583</v>
      </c>
      <c r="E138" s="239"/>
      <c r="F138" s="240"/>
    </row>
    <row r="139" spans="1:6" x14ac:dyDescent="0.2">
      <c r="A139" s="306"/>
      <c r="B139" s="280"/>
      <c r="C139" s="234" t="s">
        <v>423</v>
      </c>
      <c r="D139" s="55" t="s">
        <v>584</v>
      </c>
      <c r="E139" s="239"/>
      <c r="F139" s="240"/>
    </row>
    <row r="140" spans="1:6" ht="15" customHeight="1" thickBot="1" x14ac:dyDescent="0.25">
      <c r="A140" s="307"/>
      <c r="B140" s="302"/>
      <c r="C140" s="235" t="s">
        <v>422</v>
      </c>
      <c r="D140" s="57" t="s">
        <v>421</v>
      </c>
      <c r="E140" s="243"/>
      <c r="F140" s="244"/>
    </row>
    <row r="141" spans="1:6" ht="15.75" x14ac:dyDescent="0.2">
      <c r="B141" s="36"/>
      <c r="C141" s="36"/>
    </row>
    <row r="142" spans="1:6" ht="15.75" x14ac:dyDescent="0.2">
      <c r="B142" s="36"/>
      <c r="C142" s="36"/>
    </row>
    <row r="143" spans="1:6" ht="15.75" x14ac:dyDescent="0.2">
      <c r="B143" s="36" t="s">
        <v>985</v>
      </c>
    </row>
    <row r="144" spans="1:6" ht="51" x14ac:dyDescent="0.2">
      <c r="A144" s="312" t="s">
        <v>212</v>
      </c>
      <c r="B144" s="38" t="s">
        <v>156</v>
      </c>
      <c r="C144" s="274" t="s">
        <v>990</v>
      </c>
    </row>
    <row r="145" spans="1:3" ht="38.25" x14ac:dyDescent="0.2">
      <c r="A145" s="312"/>
      <c r="B145" s="38" t="s">
        <v>157</v>
      </c>
      <c r="C145" s="274" t="s">
        <v>991</v>
      </c>
    </row>
    <row r="146" spans="1:3" x14ac:dyDescent="0.2">
      <c r="A146" s="312"/>
      <c r="B146" s="38" t="s">
        <v>158</v>
      </c>
      <c r="C146" s="275"/>
    </row>
    <row r="147" spans="1:3" x14ac:dyDescent="0.2">
      <c r="A147" s="312"/>
      <c r="B147" s="38" t="s">
        <v>159</v>
      </c>
      <c r="C147" s="275" t="s">
        <v>986</v>
      </c>
    </row>
    <row r="148" spans="1:3" x14ac:dyDescent="0.2">
      <c r="A148" s="312"/>
      <c r="B148" s="38" t="s">
        <v>160</v>
      </c>
      <c r="C148" s="275" t="s">
        <v>986</v>
      </c>
    </row>
    <row r="149" spans="1:3" x14ac:dyDescent="0.2">
      <c r="A149" s="312"/>
      <c r="B149" s="38" t="s">
        <v>161</v>
      </c>
      <c r="C149" s="275" t="s">
        <v>986</v>
      </c>
    </row>
    <row r="150" spans="1:3" x14ac:dyDescent="0.2">
      <c r="A150" s="312"/>
      <c r="B150" s="38" t="s">
        <v>162</v>
      </c>
      <c r="C150" s="275" t="s">
        <v>986</v>
      </c>
    </row>
    <row r="151" spans="1:3" x14ac:dyDescent="0.2">
      <c r="A151" s="312"/>
      <c r="B151" s="38" t="s">
        <v>163</v>
      </c>
      <c r="C151" s="275" t="s">
        <v>986</v>
      </c>
    </row>
    <row r="152" spans="1:3" x14ac:dyDescent="0.2">
      <c r="A152" s="312"/>
      <c r="B152" s="38" t="s">
        <v>164</v>
      </c>
      <c r="C152" s="275" t="s">
        <v>986</v>
      </c>
    </row>
    <row r="153" spans="1:3" x14ac:dyDescent="0.2">
      <c r="A153" s="312"/>
      <c r="B153" s="38" t="s">
        <v>165</v>
      </c>
      <c r="C153" s="275" t="s">
        <v>986</v>
      </c>
    </row>
    <row r="154" spans="1:3" x14ac:dyDescent="0.2">
      <c r="A154" s="312"/>
      <c r="B154" s="38" t="s">
        <v>166</v>
      </c>
      <c r="C154" s="275" t="s">
        <v>986</v>
      </c>
    </row>
    <row r="155" spans="1:3" x14ac:dyDescent="0.2">
      <c r="A155" s="312"/>
      <c r="B155" s="38" t="s">
        <v>167</v>
      </c>
      <c r="C155" s="275" t="s">
        <v>986</v>
      </c>
    </row>
    <row r="156" spans="1:3" x14ac:dyDescent="0.2">
      <c r="A156" s="312"/>
      <c r="B156" s="38" t="s">
        <v>168</v>
      </c>
      <c r="C156" s="275" t="s">
        <v>986</v>
      </c>
    </row>
    <row r="157" spans="1:3" x14ac:dyDescent="0.2">
      <c r="A157" s="312"/>
      <c r="B157" s="38" t="s">
        <v>169</v>
      </c>
      <c r="C157" s="275" t="s">
        <v>992</v>
      </c>
    </row>
    <row r="158" spans="1:3" x14ac:dyDescent="0.2">
      <c r="A158" s="312"/>
      <c r="B158" s="38" t="s">
        <v>170</v>
      </c>
      <c r="C158" s="275" t="s">
        <v>987</v>
      </c>
    </row>
    <row r="159" spans="1:3" x14ac:dyDescent="0.2">
      <c r="A159" s="312"/>
      <c r="B159" s="38" t="s">
        <v>171</v>
      </c>
      <c r="C159" s="275" t="s">
        <v>988</v>
      </c>
    </row>
    <row r="160" spans="1:3" x14ac:dyDescent="0.2">
      <c r="A160" s="312"/>
      <c r="B160" s="38" t="s">
        <v>172</v>
      </c>
      <c r="C160" s="275" t="s">
        <v>989</v>
      </c>
    </row>
    <row r="161" spans="1:5" x14ac:dyDescent="0.2">
      <c r="A161" s="312"/>
      <c r="B161" s="38" t="s">
        <v>419</v>
      </c>
      <c r="C161" s="275" t="s">
        <v>986</v>
      </c>
    </row>
    <row r="162" spans="1:5" x14ac:dyDescent="0.2">
      <c r="A162" s="312"/>
      <c r="B162" s="38" t="s">
        <v>173</v>
      </c>
      <c r="C162" s="275" t="s">
        <v>989</v>
      </c>
    </row>
    <row r="163" spans="1:5" s="268" customFormat="1" ht="25.5" x14ac:dyDescent="0.2">
      <c r="A163" s="267"/>
      <c r="B163" s="39" t="s">
        <v>420</v>
      </c>
      <c r="C163" s="102" t="s">
        <v>993</v>
      </c>
      <c r="E163" s="4"/>
    </row>
    <row r="164" spans="1:5" s="268" customFormat="1" x14ac:dyDescent="0.2">
      <c r="A164" s="267"/>
      <c r="B164" s="39"/>
      <c r="C164" s="102"/>
      <c r="E164" s="4"/>
    </row>
    <row r="165" spans="1:5" s="268" customFormat="1" ht="56.25" customHeight="1" x14ac:dyDescent="0.2">
      <c r="A165" s="267"/>
      <c r="B165" s="39" t="s">
        <v>994</v>
      </c>
      <c r="C165" s="102" t="s">
        <v>999</v>
      </c>
      <c r="E165" s="4"/>
    </row>
    <row r="166" spans="1:5" s="268" customFormat="1" x14ac:dyDescent="0.2">
      <c r="A166" s="267"/>
      <c r="B166" s="39"/>
      <c r="C166" s="102"/>
      <c r="E166" s="4"/>
    </row>
    <row r="167" spans="1:5" s="268" customFormat="1" ht="38.25" x14ac:dyDescent="0.2">
      <c r="A167" s="267"/>
      <c r="B167" s="39" t="s">
        <v>995</v>
      </c>
      <c r="C167" s="102" t="s">
        <v>1000</v>
      </c>
      <c r="E167" s="4"/>
    </row>
    <row r="168" spans="1:5" s="268" customFormat="1" x14ac:dyDescent="0.2">
      <c r="A168" s="267"/>
      <c r="B168" s="39"/>
      <c r="C168" s="102"/>
      <c r="E168" s="4"/>
    </row>
    <row r="169" spans="1:5" s="268" customFormat="1" ht="38.25" x14ac:dyDescent="0.2">
      <c r="A169" s="267"/>
      <c r="B169" s="39" t="s">
        <v>996</v>
      </c>
      <c r="C169" s="102" t="s">
        <v>1001</v>
      </c>
      <c r="E169" s="4"/>
    </row>
    <row r="170" spans="1:5" s="268" customFormat="1" ht="25.5" x14ac:dyDescent="0.2">
      <c r="A170" s="267"/>
      <c r="B170" s="39" t="s">
        <v>997</v>
      </c>
      <c r="C170" s="102" t="s">
        <v>1281</v>
      </c>
      <c r="E170" s="4"/>
    </row>
    <row r="171" spans="1:5" s="268" customFormat="1" x14ac:dyDescent="0.2">
      <c r="A171" s="267"/>
      <c r="B171" s="39"/>
      <c r="C171" s="102"/>
      <c r="E171" s="4"/>
    </row>
    <row r="172" spans="1:5" s="268" customFormat="1" ht="25.5" x14ac:dyDescent="0.2">
      <c r="A172" s="267"/>
      <c r="B172" s="39" t="s">
        <v>998</v>
      </c>
      <c r="C172" s="102" t="s">
        <v>1346</v>
      </c>
      <c r="E172" s="4"/>
    </row>
    <row r="173" spans="1:5" s="268" customFormat="1" x14ac:dyDescent="0.2">
      <c r="A173" s="267"/>
      <c r="B173" s="39"/>
      <c r="C173" s="102"/>
      <c r="E173" s="4"/>
    </row>
    <row r="174" spans="1:5" s="268" customFormat="1" x14ac:dyDescent="0.2">
      <c r="A174" s="267"/>
      <c r="B174" s="39"/>
      <c r="C174" s="102"/>
      <c r="E174" s="4"/>
    </row>
    <row r="175" spans="1:5" s="268" customFormat="1" x14ac:dyDescent="0.2">
      <c r="A175" s="267"/>
      <c r="B175" s="39"/>
      <c r="C175" s="102"/>
      <c r="E175" s="4"/>
    </row>
    <row r="176" spans="1:5" s="268" customFormat="1" x14ac:dyDescent="0.2">
      <c r="A176" s="267"/>
      <c r="B176" s="101"/>
      <c r="C176" s="102"/>
      <c r="E176" s="4"/>
    </row>
    <row r="177" spans="1:5" s="268" customFormat="1" x14ac:dyDescent="0.2">
      <c r="A177" s="267"/>
      <c r="B177" s="101"/>
      <c r="C177" s="102"/>
      <c r="E177" s="4"/>
    </row>
    <row r="178" spans="1:5" s="268" customFormat="1" x14ac:dyDescent="0.2">
      <c r="A178" s="267"/>
      <c r="B178" s="101"/>
      <c r="C178" s="102"/>
      <c r="E178" s="4"/>
    </row>
    <row r="179" spans="1:5" s="268" customFormat="1" x14ac:dyDescent="0.2">
      <c r="A179" s="267"/>
      <c r="B179" s="101"/>
      <c r="C179" s="102"/>
      <c r="E179" s="4"/>
    </row>
    <row r="180" spans="1:5" s="268" customFormat="1" x14ac:dyDescent="0.2">
      <c r="A180" s="267"/>
      <c r="B180" s="101"/>
      <c r="C180" s="102"/>
      <c r="E180" s="4"/>
    </row>
    <row r="181" spans="1:5" s="268" customFormat="1" x14ac:dyDescent="0.2">
      <c r="A181" s="267"/>
      <c r="B181" s="101"/>
      <c r="C181" s="102"/>
      <c r="E181" s="4"/>
    </row>
    <row r="182" spans="1:5" s="268" customFormat="1" x14ac:dyDescent="0.2">
      <c r="A182" s="267"/>
      <c r="B182" s="101"/>
      <c r="C182" s="102"/>
      <c r="E182" s="4"/>
    </row>
    <row r="183" spans="1:5" s="268" customFormat="1" x14ac:dyDescent="0.2">
      <c r="A183" s="267"/>
      <c r="B183" s="101"/>
      <c r="C183" s="102"/>
      <c r="E183" s="4"/>
    </row>
    <row r="184" spans="1:5" s="268" customFormat="1" x14ac:dyDescent="0.2">
      <c r="A184" s="267"/>
      <c r="B184" s="101"/>
      <c r="C184" s="102"/>
      <c r="E184" s="4"/>
    </row>
    <row r="185" spans="1:5" s="268" customFormat="1" x14ac:dyDescent="0.2">
      <c r="A185" s="267"/>
      <c r="B185" s="101"/>
      <c r="C185" s="102"/>
      <c r="E185" s="4"/>
    </row>
    <row r="186" spans="1:5" s="268" customFormat="1" x14ac:dyDescent="0.2">
      <c r="A186" s="267"/>
      <c r="B186" s="101"/>
      <c r="C186" s="102"/>
      <c r="E186" s="4"/>
    </row>
    <row r="187" spans="1:5" s="268" customFormat="1" x14ac:dyDescent="0.2">
      <c r="A187" s="267"/>
      <c r="B187" s="101"/>
      <c r="C187" s="102"/>
      <c r="E187" s="4"/>
    </row>
    <row r="188" spans="1:5" s="268" customFormat="1" x14ac:dyDescent="0.2">
      <c r="A188" s="267"/>
      <c r="B188" s="101"/>
      <c r="C188" s="102"/>
      <c r="E188" s="4"/>
    </row>
    <row r="189" spans="1:5" s="268" customFormat="1" x14ac:dyDescent="0.2">
      <c r="A189" s="267"/>
      <c r="B189" s="101"/>
      <c r="C189" s="102"/>
      <c r="E189" s="4"/>
    </row>
    <row r="190" spans="1:5" s="268" customFormat="1" x14ac:dyDescent="0.2">
      <c r="A190" s="267"/>
      <c r="B190" s="101"/>
      <c r="C190" s="102"/>
      <c r="E190" s="4"/>
    </row>
    <row r="191" spans="1:5" s="90" customFormat="1" x14ac:dyDescent="0.2">
      <c r="A191" s="85"/>
      <c r="C191" s="102"/>
      <c r="E191" s="4"/>
    </row>
    <row r="192" spans="1:5" x14ac:dyDescent="0.2">
      <c r="A192" s="315" t="s">
        <v>176</v>
      </c>
      <c r="B192" s="227" t="s">
        <v>177</v>
      </c>
      <c r="C192" s="228"/>
    </row>
    <row r="193" spans="1:3" x14ac:dyDescent="0.2">
      <c r="A193" s="316"/>
      <c r="B193" s="227" t="s">
        <v>178</v>
      </c>
      <c r="C193" s="228"/>
    </row>
    <row r="194" spans="1:3" x14ac:dyDescent="0.2">
      <c r="A194" s="316"/>
      <c r="B194" s="227" t="s">
        <v>179</v>
      </c>
      <c r="C194" s="228" t="s">
        <v>199</v>
      </c>
    </row>
    <row r="195" spans="1:3" x14ac:dyDescent="0.2">
      <c r="A195" s="316"/>
      <c r="B195" s="227" t="s">
        <v>180</v>
      </c>
      <c r="C195" s="228" t="s">
        <v>199</v>
      </c>
    </row>
    <row r="196" spans="1:3" x14ac:dyDescent="0.2">
      <c r="A196" s="316"/>
      <c r="B196" s="227" t="s">
        <v>181</v>
      </c>
      <c r="C196" s="228"/>
    </row>
    <row r="197" spans="1:3" x14ac:dyDescent="0.2">
      <c r="A197" s="316"/>
      <c r="B197" s="227" t="s">
        <v>182</v>
      </c>
      <c r="C197" s="228" t="s">
        <v>665</v>
      </c>
    </row>
    <row r="198" spans="1:3" x14ac:dyDescent="0.2">
      <c r="A198" s="316"/>
      <c r="B198" s="227" t="s">
        <v>183</v>
      </c>
      <c r="C198" s="228" t="s">
        <v>666</v>
      </c>
    </row>
    <row r="199" spans="1:3" x14ac:dyDescent="0.2">
      <c r="A199" s="316"/>
      <c r="B199" s="227" t="s">
        <v>184</v>
      </c>
      <c r="C199" s="228" t="s">
        <v>667</v>
      </c>
    </row>
    <row r="200" spans="1:3" x14ac:dyDescent="0.2">
      <c r="A200" s="316"/>
      <c r="B200" s="227" t="s">
        <v>185</v>
      </c>
      <c r="C200" s="228" t="s">
        <v>668</v>
      </c>
    </row>
    <row r="201" spans="1:3" x14ac:dyDescent="0.2">
      <c r="A201" s="316"/>
      <c r="B201" s="227" t="s">
        <v>186</v>
      </c>
      <c r="C201" s="228" t="s">
        <v>669</v>
      </c>
    </row>
    <row r="202" spans="1:3" x14ac:dyDescent="0.2">
      <c r="A202" s="316"/>
      <c r="B202" s="227" t="s">
        <v>187</v>
      </c>
      <c r="C202" s="228"/>
    </row>
    <row r="203" spans="1:3" x14ac:dyDescent="0.2">
      <c r="A203" s="316"/>
      <c r="B203" s="227" t="s">
        <v>188</v>
      </c>
      <c r="C203" s="228"/>
    </row>
  </sheetData>
  <mergeCells count="40">
    <mergeCell ref="A144:A162"/>
    <mergeCell ref="A65:A87"/>
    <mergeCell ref="B7:B10"/>
    <mergeCell ref="B11:B14"/>
    <mergeCell ref="A192:A203"/>
    <mergeCell ref="B67:C67"/>
    <mergeCell ref="B68:C68"/>
    <mergeCell ref="B69:C69"/>
    <mergeCell ref="B70:C70"/>
    <mergeCell ref="B71:C71"/>
    <mergeCell ref="B76:C76"/>
    <mergeCell ref="B77:B87"/>
    <mergeCell ref="B72:C72"/>
    <mergeCell ref="B73:C73"/>
    <mergeCell ref="B74:C74"/>
    <mergeCell ref="B75:C75"/>
    <mergeCell ref="A90:A140"/>
    <mergeCell ref="C99:C100"/>
    <mergeCell ref="C104:C105"/>
    <mergeCell ref="A2:A62"/>
    <mergeCell ref="B65:C65"/>
    <mergeCell ref="B2:C2"/>
    <mergeCell ref="B3:C3"/>
    <mergeCell ref="D4:D6"/>
    <mergeCell ref="B4:B6"/>
    <mergeCell ref="B115:B140"/>
    <mergeCell ref="B91:B114"/>
    <mergeCell ref="B26:B62"/>
    <mergeCell ref="B90:C90"/>
    <mergeCell ref="B16:B18"/>
    <mergeCell ref="B19:B22"/>
    <mergeCell ref="B15:C15"/>
    <mergeCell ref="E16:E18"/>
    <mergeCell ref="D24:F24"/>
    <mergeCell ref="D25:F25"/>
    <mergeCell ref="D19:F19"/>
    <mergeCell ref="D20:F20"/>
    <mergeCell ref="D21:F21"/>
    <mergeCell ref="D22:F22"/>
    <mergeCell ref="D16:D18"/>
  </mergeCells>
  <pageMargins left="0.75" right="0.75" top="1" bottom="1" header="0.5" footer="0.5"/>
  <pageSetup paperSize="9" orientation="portrait" horizontalDpi="300" verticalDpi="300"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26"/>
  <sheetViews>
    <sheetView workbookViewId="0">
      <selection activeCell="A47" sqref="A47:XFD47"/>
    </sheetView>
  </sheetViews>
  <sheetFormatPr defaultRowHeight="15" x14ac:dyDescent="0.25"/>
  <cols>
    <col min="1" max="1" width="14" style="269" customWidth="1"/>
    <col min="2" max="2" width="29.140625" style="269" customWidth="1"/>
    <col min="3" max="3" width="53" style="269" customWidth="1"/>
    <col min="4" max="4" width="44.85546875" style="269" customWidth="1"/>
    <col min="5" max="16384" width="9.140625" style="269"/>
  </cols>
  <sheetData>
    <row r="1" spans="1:4" ht="83.25" customHeight="1" x14ac:dyDescent="0.25">
      <c r="A1" s="271" t="s">
        <v>552</v>
      </c>
      <c r="B1" s="272" t="s">
        <v>1280</v>
      </c>
      <c r="C1" s="271" t="s">
        <v>1279</v>
      </c>
      <c r="D1" s="271" t="s">
        <v>1278</v>
      </c>
    </row>
    <row r="2" spans="1:4" x14ac:dyDescent="0.25">
      <c r="A2" s="270" t="s">
        <v>1277</v>
      </c>
      <c r="B2" s="270" t="s">
        <v>1009</v>
      </c>
      <c r="C2" s="270" t="s">
        <v>1276</v>
      </c>
      <c r="D2" s="270" t="s">
        <v>1002</v>
      </c>
    </row>
    <row r="3" spans="1:4" x14ac:dyDescent="0.25">
      <c r="A3" s="270" t="s">
        <v>1275</v>
      </c>
      <c r="B3" s="270" t="s">
        <v>1009</v>
      </c>
      <c r="C3" s="270" t="s">
        <v>1274</v>
      </c>
      <c r="D3" s="270" t="s">
        <v>1002</v>
      </c>
    </row>
    <row r="4" spans="1:4" x14ac:dyDescent="0.25">
      <c r="A4" s="270" t="s">
        <v>1273</v>
      </c>
      <c r="B4" s="270" t="s">
        <v>1004</v>
      </c>
      <c r="C4" s="270" t="s">
        <v>1272</v>
      </c>
      <c r="D4" s="270" t="s">
        <v>1002</v>
      </c>
    </row>
    <row r="5" spans="1:4" x14ac:dyDescent="0.25">
      <c r="A5" s="270" t="s">
        <v>1271</v>
      </c>
      <c r="B5" s="270" t="s">
        <v>1004</v>
      </c>
      <c r="C5" s="270" t="s">
        <v>1270</v>
      </c>
      <c r="D5" s="270" t="s">
        <v>1002</v>
      </c>
    </row>
    <row r="6" spans="1:4" x14ac:dyDescent="0.25">
      <c r="A6" s="270" t="s">
        <v>1269</v>
      </c>
      <c r="B6" s="270" t="s">
        <v>1004</v>
      </c>
      <c r="C6" s="270" t="s">
        <v>1268</v>
      </c>
      <c r="D6" s="270" t="s">
        <v>1002</v>
      </c>
    </row>
    <row r="7" spans="1:4" ht="30" x14ac:dyDescent="0.25">
      <c r="A7" s="270" t="s">
        <v>1267</v>
      </c>
      <c r="B7" s="270" t="s">
        <v>1004</v>
      </c>
      <c r="C7" s="270" t="s">
        <v>1266</v>
      </c>
      <c r="D7" s="270" t="s">
        <v>1002</v>
      </c>
    </row>
    <row r="8" spans="1:4" x14ac:dyDescent="0.25">
      <c r="A8" s="270" t="s">
        <v>1265</v>
      </c>
      <c r="B8" s="270" t="s">
        <v>1229</v>
      </c>
      <c r="C8" s="270" t="s">
        <v>1264</v>
      </c>
      <c r="D8" s="270" t="s">
        <v>1002</v>
      </c>
    </row>
    <row r="9" spans="1:4" x14ac:dyDescent="0.25">
      <c r="A9" s="270" t="s">
        <v>1263</v>
      </c>
      <c r="B9" s="270" t="s">
        <v>1229</v>
      </c>
      <c r="C9" s="270" t="s">
        <v>1262</v>
      </c>
      <c r="D9" s="270" t="s">
        <v>1002</v>
      </c>
    </row>
    <row r="10" spans="1:4" x14ac:dyDescent="0.25">
      <c r="A10" s="270" t="s">
        <v>1261</v>
      </c>
      <c r="B10" s="270" t="s">
        <v>1229</v>
      </c>
      <c r="C10" s="270" t="s">
        <v>1260</v>
      </c>
      <c r="D10" s="270" t="s">
        <v>1002</v>
      </c>
    </row>
    <row r="11" spans="1:4" x14ac:dyDescent="0.25">
      <c r="A11" s="270" t="s">
        <v>1259</v>
      </c>
      <c r="B11" s="270" t="s">
        <v>1229</v>
      </c>
      <c r="C11" s="270" t="s">
        <v>1258</v>
      </c>
      <c r="D11" s="270" t="s">
        <v>1002</v>
      </c>
    </row>
    <row r="12" spans="1:4" x14ac:dyDescent="0.25">
      <c r="A12" s="270" t="s">
        <v>1257</v>
      </c>
      <c r="B12" s="270" t="s">
        <v>1004</v>
      </c>
      <c r="C12" s="270" t="s">
        <v>1256</v>
      </c>
      <c r="D12" s="270" t="s">
        <v>1002</v>
      </c>
    </row>
    <row r="13" spans="1:4" x14ac:dyDescent="0.25">
      <c r="A13" s="270" t="s">
        <v>1255</v>
      </c>
      <c r="B13" s="270" t="s">
        <v>1229</v>
      </c>
      <c r="C13" s="270" t="s">
        <v>1254</v>
      </c>
      <c r="D13" s="270" t="s">
        <v>1002</v>
      </c>
    </row>
    <row r="14" spans="1:4" x14ac:dyDescent="0.25">
      <c r="A14" s="270" t="s">
        <v>1253</v>
      </c>
      <c r="B14" s="270" t="s">
        <v>1004</v>
      </c>
      <c r="C14" s="270" t="s">
        <v>1252</v>
      </c>
      <c r="D14" s="270" t="s">
        <v>1002</v>
      </c>
    </row>
    <row r="15" spans="1:4" x14ac:dyDescent="0.25">
      <c r="A15" s="270" t="s">
        <v>1251</v>
      </c>
      <c r="B15" s="270" t="s">
        <v>1004</v>
      </c>
      <c r="C15" s="270" t="s">
        <v>1250</v>
      </c>
      <c r="D15" s="270" t="s">
        <v>1002</v>
      </c>
    </row>
    <row r="16" spans="1:4" x14ac:dyDescent="0.25">
      <c r="A16" s="270" t="s">
        <v>1249</v>
      </c>
      <c r="B16" s="270" t="s">
        <v>1004</v>
      </c>
      <c r="C16" s="270" t="s">
        <v>1248</v>
      </c>
      <c r="D16" s="270" t="s">
        <v>1002</v>
      </c>
    </row>
    <row r="17" spans="1:4" ht="60" x14ac:dyDescent="0.25">
      <c r="A17" s="270" t="s">
        <v>1247</v>
      </c>
      <c r="B17" s="270" t="s">
        <v>1004</v>
      </c>
      <c r="C17" s="270" t="s">
        <v>1246</v>
      </c>
      <c r="D17" s="270" t="s">
        <v>1245</v>
      </c>
    </row>
    <row r="18" spans="1:4" ht="60" x14ac:dyDescent="0.25">
      <c r="A18" s="270" t="s">
        <v>1244</v>
      </c>
      <c r="B18" s="270" t="s">
        <v>1004</v>
      </c>
      <c r="C18" s="270" t="s">
        <v>1243</v>
      </c>
      <c r="D18" s="270" t="s">
        <v>1242</v>
      </c>
    </row>
    <row r="19" spans="1:4" ht="60" x14ac:dyDescent="0.25">
      <c r="A19" s="270" t="s">
        <v>1241</v>
      </c>
      <c r="B19" s="270" t="s">
        <v>1004</v>
      </c>
      <c r="C19" s="270" t="s">
        <v>1240</v>
      </c>
      <c r="D19" s="270" t="s">
        <v>1239</v>
      </c>
    </row>
    <row r="20" spans="1:4" ht="60" x14ac:dyDescent="0.25">
      <c r="A20" s="270" t="s">
        <v>1238</v>
      </c>
      <c r="B20" s="270" t="s">
        <v>1004</v>
      </c>
      <c r="C20" s="270" t="s">
        <v>1237</v>
      </c>
      <c r="D20" s="270" t="s">
        <v>1236</v>
      </c>
    </row>
    <row r="21" spans="1:4" ht="60" x14ac:dyDescent="0.25">
      <c r="A21" s="270" t="s">
        <v>1235</v>
      </c>
      <c r="B21" s="270" t="s">
        <v>1004</v>
      </c>
      <c r="C21" s="270" t="s">
        <v>1234</v>
      </c>
      <c r="D21" s="270" t="s">
        <v>1233</v>
      </c>
    </row>
    <row r="22" spans="1:4" x14ac:dyDescent="0.25">
      <c r="A22" s="270" t="s">
        <v>1232</v>
      </c>
      <c r="B22" s="270" t="s">
        <v>1004</v>
      </c>
      <c r="C22" s="270" t="s">
        <v>1231</v>
      </c>
      <c r="D22" s="270" t="s">
        <v>1002</v>
      </c>
    </row>
    <row r="23" spans="1:4" ht="60" x14ac:dyDescent="0.25">
      <c r="A23" s="270" t="s">
        <v>1230</v>
      </c>
      <c r="B23" s="270" t="s">
        <v>1229</v>
      </c>
      <c r="C23" s="270" t="s">
        <v>1228</v>
      </c>
      <c r="D23" s="270" t="s">
        <v>1227</v>
      </c>
    </row>
    <row r="24" spans="1:4" ht="30" x14ac:dyDescent="0.25">
      <c r="A24" s="270" t="s">
        <v>1226</v>
      </c>
      <c r="B24" s="270" t="s">
        <v>1004</v>
      </c>
      <c r="C24" s="270" t="s">
        <v>1225</v>
      </c>
      <c r="D24" s="270" t="s">
        <v>1002</v>
      </c>
    </row>
    <row r="25" spans="1:4" x14ac:dyDescent="0.25">
      <c r="A25" s="270" t="s">
        <v>1224</v>
      </c>
      <c r="B25" s="270" t="s">
        <v>1009</v>
      </c>
      <c r="C25" s="270" t="s">
        <v>1223</v>
      </c>
      <c r="D25" s="270" t="s">
        <v>1002</v>
      </c>
    </row>
    <row r="26" spans="1:4" ht="45" x14ac:dyDescent="0.25">
      <c r="A26" s="270" t="s">
        <v>1222</v>
      </c>
      <c r="B26" s="270" t="s">
        <v>1009</v>
      </c>
      <c r="C26" s="270" t="s">
        <v>1221</v>
      </c>
      <c r="D26" s="270" t="s">
        <v>1220</v>
      </c>
    </row>
    <row r="27" spans="1:4" ht="30" x14ac:dyDescent="0.25">
      <c r="A27" s="270" t="s">
        <v>1219</v>
      </c>
      <c r="B27" s="270" t="s">
        <v>1009</v>
      </c>
      <c r="C27" s="270" t="s">
        <v>1218</v>
      </c>
      <c r="D27" s="270" t="s">
        <v>1217</v>
      </c>
    </row>
    <row r="28" spans="1:4" ht="30" x14ac:dyDescent="0.25">
      <c r="A28" s="270" t="s">
        <v>1216</v>
      </c>
      <c r="B28" s="270" t="s">
        <v>1004</v>
      </c>
      <c r="C28" s="270" t="s">
        <v>1215</v>
      </c>
      <c r="D28" s="270" t="s">
        <v>1214</v>
      </c>
    </row>
    <row r="29" spans="1:4" ht="30" x14ac:dyDescent="0.25">
      <c r="A29" s="270" t="s">
        <v>1213</v>
      </c>
      <c r="B29" s="270" t="s">
        <v>1009</v>
      </c>
      <c r="C29" s="270" t="s">
        <v>1212</v>
      </c>
      <c r="D29" s="270" t="s">
        <v>1211</v>
      </c>
    </row>
    <row r="30" spans="1:4" x14ac:dyDescent="0.25">
      <c r="A30" s="270" t="s">
        <v>1210</v>
      </c>
      <c r="B30" s="270" t="s">
        <v>1004</v>
      </c>
      <c r="C30" s="270" t="s">
        <v>1209</v>
      </c>
      <c r="D30" s="270" t="s">
        <v>1002</v>
      </c>
    </row>
    <row r="31" spans="1:4" x14ac:dyDescent="0.25">
      <c r="A31" s="270" t="s">
        <v>1208</v>
      </c>
      <c r="B31" s="270" t="s">
        <v>1004</v>
      </c>
      <c r="C31" s="270" t="s">
        <v>1207</v>
      </c>
      <c r="D31" s="270" t="s">
        <v>1002</v>
      </c>
    </row>
    <row r="32" spans="1:4" x14ac:dyDescent="0.25">
      <c r="A32" s="270" t="s">
        <v>1206</v>
      </c>
      <c r="B32" s="270" t="s">
        <v>1004</v>
      </c>
      <c r="C32" s="270" t="s">
        <v>1205</v>
      </c>
      <c r="D32" s="270" t="s">
        <v>1002</v>
      </c>
    </row>
    <row r="33" spans="1:4" x14ac:dyDescent="0.25">
      <c r="A33" s="270" t="s">
        <v>1204</v>
      </c>
      <c r="B33" s="270" t="s">
        <v>1004</v>
      </c>
      <c r="C33" s="270" t="s">
        <v>1203</v>
      </c>
      <c r="D33" s="270" t="s">
        <v>1002</v>
      </c>
    </row>
    <row r="34" spans="1:4" ht="30" x14ac:dyDescent="0.25">
      <c r="A34" s="270" t="s">
        <v>1202</v>
      </c>
      <c r="B34" s="270" t="s">
        <v>1004</v>
      </c>
      <c r="C34" s="270" t="s">
        <v>1201</v>
      </c>
      <c r="D34" s="270" t="s">
        <v>1002</v>
      </c>
    </row>
    <row r="35" spans="1:4" x14ac:dyDescent="0.25">
      <c r="A35" s="270" t="s">
        <v>1200</v>
      </c>
      <c r="B35" s="270" t="s">
        <v>1009</v>
      </c>
      <c r="C35" s="270" t="s">
        <v>1199</v>
      </c>
      <c r="D35" s="270" t="s">
        <v>1002</v>
      </c>
    </row>
    <row r="36" spans="1:4" x14ac:dyDescent="0.25">
      <c r="A36" s="270" t="s">
        <v>1198</v>
      </c>
      <c r="B36" s="270" t="s">
        <v>1009</v>
      </c>
      <c r="C36" s="270" t="s">
        <v>1197</v>
      </c>
      <c r="D36" s="270" t="s">
        <v>1002</v>
      </c>
    </row>
    <row r="37" spans="1:4" x14ac:dyDescent="0.25">
      <c r="A37" s="270" t="s">
        <v>1196</v>
      </c>
      <c r="B37" s="270" t="s">
        <v>1009</v>
      </c>
      <c r="C37" s="270" t="s">
        <v>1195</v>
      </c>
      <c r="D37" s="270" t="s">
        <v>1002</v>
      </c>
    </row>
    <row r="38" spans="1:4" x14ac:dyDescent="0.25">
      <c r="A38" s="270" t="s">
        <v>1194</v>
      </c>
      <c r="B38" s="270" t="s">
        <v>1009</v>
      </c>
      <c r="C38" s="270" t="s">
        <v>1193</v>
      </c>
      <c r="D38" s="270" t="s">
        <v>1002</v>
      </c>
    </row>
    <row r="39" spans="1:4" ht="60" x14ac:dyDescent="0.25">
      <c r="A39" s="270" t="s">
        <v>1192</v>
      </c>
      <c r="B39" s="270" t="s">
        <v>1009</v>
      </c>
      <c r="C39" s="270" t="s">
        <v>1191</v>
      </c>
      <c r="D39" s="270" t="s">
        <v>1190</v>
      </c>
    </row>
    <row r="40" spans="1:4" x14ac:dyDescent="0.25">
      <c r="A40" s="270" t="s">
        <v>1189</v>
      </c>
      <c r="B40" s="270" t="s">
        <v>1009</v>
      </c>
      <c r="C40" s="270" t="s">
        <v>1188</v>
      </c>
      <c r="D40" s="270" t="s">
        <v>1002</v>
      </c>
    </row>
    <row r="41" spans="1:4" x14ac:dyDescent="0.25">
      <c r="A41" s="270" t="s">
        <v>1187</v>
      </c>
      <c r="B41" s="270" t="s">
        <v>1004</v>
      </c>
      <c r="C41" s="270" t="s">
        <v>1186</v>
      </c>
      <c r="D41" s="270" t="s">
        <v>1002</v>
      </c>
    </row>
    <row r="42" spans="1:4" x14ac:dyDescent="0.25">
      <c r="A42" s="270" t="s">
        <v>1185</v>
      </c>
      <c r="B42" s="270" t="s">
        <v>1004</v>
      </c>
      <c r="C42" s="270" t="s">
        <v>1184</v>
      </c>
      <c r="D42" s="270" t="s">
        <v>1002</v>
      </c>
    </row>
    <row r="43" spans="1:4" x14ac:dyDescent="0.25">
      <c r="A43" s="270" t="s">
        <v>1183</v>
      </c>
      <c r="B43" s="270" t="s">
        <v>1004</v>
      </c>
      <c r="C43" s="270" t="s">
        <v>1182</v>
      </c>
      <c r="D43" s="270" t="s">
        <v>1002</v>
      </c>
    </row>
    <row r="44" spans="1:4" x14ac:dyDescent="0.25">
      <c r="A44" s="270" t="s">
        <v>1181</v>
      </c>
      <c r="B44" s="270" t="s">
        <v>1004</v>
      </c>
      <c r="C44" s="270" t="s">
        <v>1180</v>
      </c>
      <c r="D44" s="270" t="s">
        <v>1002</v>
      </c>
    </row>
    <row r="45" spans="1:4" x14ac:dyDescent="0.25">
      <c r="A45" s="270" t="s">
        <v>1179</v>
      </c>
      <c r="B45" s="270" t="s">
        <v>1004</v>
      </c>
      <c r="C45" s="270" t="s">
        <v>1178</v>
      </c>
      <c r="D45" s="270" t="s">
        <v>1002</v>
      </c>
    </row>
    <row r="46" spans="1:4" x14ac:dyDescent="0.25">
      <c r="A46" s="270" t="s">
        <v>1177</v>
      </c>
      <c r="B46" s="270" t="s">
        <v>1004</v>
      </c>
      <c r="C46" s="270" t="s">
        <v>1176</v>
      </c>
      <c r="D46" s="270" t="s">
        <v>1002</v>
      </c>
    </row>
    <row r="47" spans="1:4" x14ac:dyDescent="0.25">
      <c r="A47" s="270" t="s">
        <v>1175</v>
      </c>
      <c r="B47" s="270" t="s">
        <v>1124</v>
      </c>
      <c r="C47" s="270" t="s">
        <v>1174</v>
      </c>
      <c r="D47" s="270" t="s">
        <v>1002</v>
      </c>
    </row>
    <row r="48" spans="1:4" x14ac:dyDescent="0.25">
      <c r="A48" s="270" t="s">
        <v>1173</v>
      </c>
      <c r="B48" s="270" t="s">
        <v>1124</v>
      </c>
      <c r="C48" s="270" t="s">
        <v>1172</v>
      </c>
      <c r="D48" s="270" t="s">
        <v>1002</v>
      </c>
    </row>
    <row r="49" spans="1:4" x14ac:dyDescent="0.25">
      <c r="A49" s="270" t="s">
        <v>1171</v>
      </c>
      <c r="B49" s="270" t="s">
        <v>1004</v>
      </c>
      <c r="C49" s="270" t="s">
        <v>1170</v>
      </c>
      <c r="D49" s="270" t="s">
        <v>1002</v>
      </c>
    </row>
    <row r="50" spans="1:4" ht="30" x14ac:dyDescent="0.25">
      <c r="A50" s="270" t="s">
        <v>1169</v>
      </c>
      <c r="B50" s="270" t="s">
        <v>1124</v>
      </c>
      <c r="C50" s="270" t="s">
        <v>1168</v>
      </c>
      <c r="D50" s="270" t="s">
        <v>1167</v>
      </c>
    </row>
    <row r="51" spans="1:4" x14ac:dyDescent="0.25">
      <c r="A51" s="270" t="s">
        <v>1166</v>
      </c>
      <c r="B51" s="270" t="s">
        <v>1004</v>
      </c>
      <c r="C51" s="270" t="s">
        <v>1165</v>
      </c>
      <c r="D51" s="270" t="s">
        <v>1002</v>
      </c>
    </row>
    <row r="52" spans="1:4" x14ac:dyDescent="0.25">
      <c r="A52" s="270" t="s">
        <v>1164</v>
      </c>
      <c r="B52" s="270" t="s">
        <v>1004</v>
      </c>
      <c r="C52" s="270" t="s">
        <v>1163</v>
      </c>
      <c r="D52" s="270" t="s">
        <v>1002</v>
      </c>
    </row>
    <row r="53" spans="1:4" x14ac:dyDescent="0.25">
      <c r="A53" s="270" t="s">
        <v>1162</v>
      </c>
      <c r="B53" s="270" t="s">
        <v>1124</v>
      </c>
      <c r="C53" s="270" t="s">
        <v>1161</v>
      </c>
      <c r="D53" s="270" t="s">
        <v>1002</v>
      </c>
    </row>
    <row r="54" spans="1:4" x14ac:dyDescent="0.25">
      <c r="A54" s="270" t="s">
        <v>1160</v>
      </c>
      <c r="B54" s="270" t="s">
        <v>1124</v>
      </c>
      <c r="C54" s="270" t="s">
        <v>1159</v>
      </c>
      <c r="D54" s="270" t="s">
        <v>1002</v>
      </c>
    </row>
    <row r="55" spans="1:4" x14ac:dyDescent="0.25">
      <c r="A55" s="270" t="s">
        <v>1158</v>
      </c>
      <c r="B55" s="270" t="s">
        <v>1004</v>
      </c>
      <c r="C55" s="270" t="s">
        <v>1157</v>
      </c>
      <c r="D55" s="270" t="s">
        <v>1002</v>
      </c>
    </row>
    <row r="56" spans="1:4" x14ac:dyDescent="0.25">
      <c r="A56" s="270" t="s">
        <v>1156</v>
      </c>
      <c r="B56" s="270" t="s">
        <v>1124</v>
      </c>
      <c r="C56" s="270" t="s">
        <v>1155</v>
      </c>
      <c r="D56" s="270" t="s">
        <v>1002</v>
      </c>
    </row>
    <row r="57" spans="1:4" x14ac:dyDescent="0.25">
      <c r="A57" s="270" t="s">
        <v>1154</v>
      </c>
      <c r="B57" s="270" t="s">
        <v>1124</v>
      </c>
      <c r="C57" s="270" t="s">
        <v>1153</v>
      </c>
      <c r="D57" s="270" t="s">
        <v>1002</v>
      </c>
    </row>
    <row r="58" spans="1:4" x14ac:dyDescent="0.25">
      <c r="A58" s="270" t="s">
        <v>1152</v>
      </c>
      <c r="B58" s="270" t="s">
        <v>1004</v>
      </c>
      <c r="C58" s="270" t="s">
        <v>1151</v>
      </c>
      <c r="D58" s="270" t="s">
        <v>1002</v>
      </c>
    </row>
    <row r="59" spans="1:4" x14ac:dyDescent="0.25">
      <c r="A59" s="270" t="s">
        <v>1150</v>
      </c>
      <c r="B59" s="270" t="s">
        <v>1004</v>
      </c>
      <c r="C59" s="270" t="s">
        <v>1149</v>
      </c>
      <c r="D59" s="270" t="s">
        <v>1002</v>
      </c>
    </row>
    <row r="60" spans="1:4" x14ac:dyDescent="0.25">
      <c r="A60" s="270" t="s">
        <v>1148</v>
      </c>
      <c r="B60" s="270" t="s">
        <v>1004</v>
      </c>
      <c r="C60" s="270" t="s">
        <v>1147</v>
      </c>
      <c r="D60" s="270" t="s">
        <v>1002</v>
      </c>
    </row>
    <row r="61" spans="1:4" x14ac:dyDescent="0.25">
      <c r="A61" s="270" t="s">
        <v>1146</v>
      </c>
      <c r="B61" s="270" t="s">
        <v>1004</v>
      </c>
      <c r="C61" s="270" t="s">
        <v>1145</v>
      </c>
      <c r="D61" s="270" t="s">
        <v>1002</v>
      </c>
    </row>
    <row r="62" spans="1:4" x14ac:dyDescent="0.25">
      <c r="A62" s="270" t="s">
        <v>1144</v>
      </c>
      <c r="B62" s="270" t="s">
        <v>1004</v>
      </c>
      <c r="C62" s="270" t="s">
        <v>1143</v>
      </c>
      <c r="D62" s="270" t="s">
        <v>1002</v>
      </c>
    </row>
    <row r="63" spans="1:4" x14ac:dyDescent="0.25">
      <c r="A63" s="270" t="s">
        <v>1142</v>
      </c>
      <c r="B63" s="270" t="s">
        <v>1004</v>
      </c>
      <c r="C63" s="270" t="s">
        <v>1141</v>
      </c>
      <c r="D63" s="270" t="s">
        <v>1002</v>
      </c>
    </row>
    <row r="64" spans="1:4" ht="30" x14ac:dyDescent="0.25">
      <c r="A64" s="270" t="s">
        <v>1140</v>
      </c>
      <c r="B64" s="270" t="s">
        <v>1124</v>
      </c>
      <c r="C64" s="270" t="s">
        <v>1139</v>
      </c>
      <c r="D64" s="270" t="s">
        <v>1002</v>
      </c>
    </row>
    <row r="65" spans="1:4" x14ac:dyDescent="0.25">
      <c r="A65" s="270" t="s">
        <v>1138</v>
      </c>
      <c r="B65" s="270" t="s">
        <v>1004</v>
      </c>
      <c r="C65" s="270" t="s">
        <v>1137</v>
      </c>
      <c r="D65" s="270" t="s">
        <v>1002</v>
      </c>
    </row>
    <row r="66" spans="1:4" x14ac:dyDescent="0.25">
      <c r="A66" s="270" t="s">
        <v>1136</v>
      </c>
      <c r="B66" s="270" t="s">
        <v>1004</v>
      </c>
      <c r="C66" s="270" t="s">
        <v>1135</v>
      </c>
      <c r="D66" s="270" t="s">
        <v>1002</v>
      </c>
    </row>
    <row r="67" spans="1:4" x14ac:dyDescent="0.25">
      <c r="A67" s="270" t="s">
        <v>1134</v>
      </c>
      <c r="B67" s="270" t="s">
        <v>1004</v>
      </c>
      <c r="C67" s="270" t="s">
        <v>1133</v>
      </c>
      <c r="D67" s="270" t="s">
        <v>1002</v>
      </c>
    </row>
    <row r="68" spans="1:4" x14ac:dyDescent="0.25">
      <c r="A68" s="270" t="s">
        <v>1132</v>
      </c>
      <c r="B68" s="270" t="s">
        <v>1004</v>
      </c>
      <c r="C68" s="270" t="s">
        <v>1131</v>
      </c>
      <c r="D68" s="270" t="s">
        <v>1002</v>
      </c>
    </row>
    <row r="69" spans="1:4" x14ac:dyDescent="0.25">
      <c r="A69" s="270" t="s">
        <v>1130</v>
      </c>
      <c r="B69" s="270" t="s">
        <v>1124</v>
      </c>
      <c r="C69" s="270" t="s">
        <v>1129</v>
      </c>
      <c r="D69" s="270" t="s">
        <v>1002</v>
      </c>
    </row>
    <row r="70" spans="1:4" ht="30" x14ac:dyDescent="0.25">
      <c r="A70" s="270" t="s">
        <v>1128</v>
      </c>
      <c r="B70" s="270" t="s">
        <v>1004</v>
      </c>
      <c r="C70" s="270" t="s">
        <v>1127</v>
      </c>
      <c r="D70" s="270" t="s">
        <v>1126</v>
      </c>
    </row>
    <row r="71" spans="1:4" ht="30" x14ac:dyDescent="0.25">
      <c r="A71" s="270" t="s">
        <v>1125</v>
      </c>
      <c r="B71" s="270" t="s">
        <v>1124</v>
      </c>
      <c r="C71" s="270" t="s">
        <v>1123</v>
      </c>
      <c r="D71" s="270" t="s">
        <v>1122</v>
      </c>
    </row>
    <row r="72" spans="1:4" x14ac:dyDescent="0.25">
      <c r="A72" s="270" t="s">
        <v>1121</v>
      </c>
      <c r="B72" s="270" t="s">
        <v>1004</v>
      </c>
      <c r="C72" s="270" t="s">
        <v>1120</v>
      </c>
      <c r="D72" s="270" t="s">
        <v>1002</v>
      </c>
    </row>
    <row r="73" spans="1:4" x14ac:dyDescent="0.25">
      <c r="A73" s="270" t="s">
        <v>1119</v>
      </c>
      <c r="B73" s="270" t="s">
        <v>1004</v>
      </c>
      <c r="C73" s="270" t="s">
        <v>1118</v>
      </c>
      <c r="D73" s="270" t="s">
        <v>1002</v>
      </c>
    </row>
    <row r="74" spans="1:4" x14ac:dyDescent="0.25">
      <c r="A74" s="270" t="s">
        <v>1117</v>
      </c>
      <c r="B74" s="270" t="s">
        <v>1004</v>
      </c>
      <c r="C74" s="270" t="s">
        <v>1116</v>
      </c>
      <c r="D74" s="270" t="s">
        <v>1002</v>
      </c>
    </row>
    <row r="75" spans="1:4" x14ac:dyDescent="0.25">
      <c r="A75" s="270" t="s">
        <v>1115</v>
      </c>
      <c r="B75" s="270" t="s">
        <v>1004</v>
      </c>
      <c r="C75" s="270" t="s">
        <v>1114</v>
      </c>
      <c r="D75" s="270" t="s">
        <v>1111</v>
      </c>
    </row>
    <row r="76" spans="1:4" x14ac:dyDescent="0.25">
      <c r="A76" s="270" t="s">
        <v>1113</v>
      </c>
      <c r="B76" s="270" t="s">
        <v>1004</v>
      </c>
      <c r="C76" s="270" t="s">
        <v>1112</v>
      </c>
      <c r="D76" s="270" t="s">
        <v>1111</v>
      </c>
    </row>
    <row r="77" spans="1:4" ht="30" x14ac:dyDescent="0.25">
      <c r="A77" s="270" t="s">
        <v>1110</v>
      </c>
      <c r="B77" s="270" t="s">
        <v>1004</v>
      </c>
      <c r="C77" s="270" t="s">
        <v>1109</v>
      </c>
      <c r="D77" s="270" t="s">
        <v>1108</v>
      </c>
    </row>
    <row r="78" spans="1:4" x14ac:dyDescent="0.25">
      <c r="A78" s="270" t="s">
        <v>1107</v>
      </c>
      <c r="B78" s="270" t="s">
        <v>1004</v>
      </c>
      <c r="C78" s="270" t="s">
        <v>1106</v>
      </c>
      <c r="D78" s="270" t="s">
        <v>1002</v>
      </c>
    </row>
    <row r="79" spans="1:4" x14ac:dyDescent="0.25">
      <c r="A79" s="270" t="s">
        <v>1105</v>
      </c>
      <c r="B79" s="270" t="s">
        <v>1004</v>
      </c>
      <c r="C79" s="270" t="s">
        <v>1104</v>
      </c>
      <c r="D79" s="270" t="s">
        <v>1002</v>
      </c>
    </row>
    <row r="80" spans="1:4" ht="30" x14ac:dyDescent="0.25">
      <c r="A80" s="270" t="s">
        <v>1103</v>
      </c>
      <c r="B80" s="270" t="s">
        <v>1004</v>
      </c>
      <c r="C80" s="270" t="s">
        <v>1102</v>
      </c>
      <c r="D80" s="270" t="s">
        <v>1002</v>
      </c>
    </row>
    <row r="81" spans="1:4" ht="120" x14ac:dyDescent="0.25">
      <c r="A81" s="270" t="s">
        <v>1101</v>
      </c>
      <c r="B81" s="270" t="s">
        <v>1004</v>
      </c>
      <c r="C81" s="270" t="s">
        <v>1100</v>
      </c>
      <c r="D81" s="270" t="s">
        <v>1099</v>
      </c>
    </row>
    <row r="82" spans="1:4" x14ac:dyDescent="0.25">
      <c r="A82" s="270" t="s">
        <v>1098</v>
      </c>
      <c r="B82" s="270" t="s">
        <v>1004</v>
      </c>
      <c r="C82" s="270" t="s">
        <v>1097</v>
      </c>
      <c r="D82" s="270" t="s">
        <v>1002</v>
      </c>
    </row>
    <row r="83" spans="1:4" x14ac:dyDescent="0.25">
      <c r="A83" s="270" t="s">
        <v>1096</v>
      </c>
      <c r="B83" s="270" t="s">
        <v>1004</v>
      </c>
      <c r="C83" s="270" t="s">
        <v>1095</v>
      </c>
      <c r="D83" s="270" t="s">
        <v>1002</v>
      </c>
    </row>
    <row r="84" spans="1:4" ht="30" x14ac:dyDescent="0.25">
      <c r="A84" s="270" t="s">
        <v>1094</v>
      </c>
      <c r="B84" s="270" t="s">
        <v>1004</v>
      </c>
      <c r="C84" s="270" t="s">
        <v>1093</v>
      </c>
      <c r="D84" s="270" t="s">
        <v>1002</v>
      </c>
    </row>
    <row r="85" spans="1:4" x14ac:dyDescent="0.25">
      <c r="A85" s="270" t="s">
        <v>1092</v>
      </c>
      <c r="B85" s="270" t="s">
        <v>1004</v>
      </c>
      <c r="C85" s="270" t="s">
        <v>1091</v>
      </c>
      <c r="D85" s="270" t="s">
        <v>1002</v>
      </c>
    </row>
    <row r="86" spans="1:4" ht="30" x14ac:dyDescent="0.25">
      <c r="A86" s="270" t="s">
        <v>1090</v>
      </c>
      <c r="B86" s="270" t="s">
        <v>1004</v>
      </c>
      <c r="C86" s="270" t="s">
        <v>1089</v>
      </c>
      <c r="D86" s="270" t="s">
        <v>1088</v>
      </c>
    </row>
    <row r="87" spans="1:4" x14ac:dyDescent="0.25">
      <c r="A87" s="270" t="s">
        <v>1087</v>
      </c>
      <c r="B87" s="270" t="s">
        <v>1004</v>
      </c>
      <c r="C87" s="270" t="s">
        <v>1086</v>
      </c>
      <c r="D87" s="270" t="s">
        <v>1002</v>
      </c>
    </row>
    <row r="88" spans="1:4" x14ac:dyDescent="0.25">
      <c r="A88" s="270" t="s">
        <v>1085</v>
      </c>
      <c r="B88" s="270" t="s">
        <v>1004</v>
      </c>
      <c r="C88" s="270" t="s">
        <v>1084</v>
      </c>
      <c r="D88" s="270" t="s">
        <v>1002</v>
      </c>
    </row>
    <row r="89" spans="1:4" x14ac:dyDescent="0.25">
      <c r="A89" s="270" t="s">
        <v>1083</v>
      </c>
      <c r="B89" s="270" t="s">
        <v>1004</v>
      </c>
      <c r="C89" s="270" t="s">
        <v>1082</v>
      </c>
      <c r="D89" s="270" t="s">
        <v>1002</v>
      </c>
    </row>
    <row r="90" spans="1:4" x14ac:dyDescent="0.25">
      <c r="A90" s="270" t="s">
        <v>1081</v>
      </c>
      <c r="B90" s="270" t="s">
        <v>1004</v>
      </c>
      <c r="C90" s="270" t="s">
        <v>1080</v>
      </c>
      <c r="D90" s="270" t="s">
        <v>1002</v>
      </c>
    </row>
    <row r="91" spans="1:4" x14ac:dyDescent="0.25">
      <c r="A91" s="270" t="s">
        <v>1079</v>
      </c>
      <c r="B91" s="270" t="s">
        <v>1004</v>
      </c>
      <c r="C91" s="270" t="s">
        <v>1078</v>
      </c>
      <c r="D91" s="270" t="s">
        <v>1002</v>
      </c>
    </row>
    <row r="92" spans="1:4" x14ac:dyDescent="0.25">
      <c r="A92" s="270" t="s">
        <v>1077</v>
      </c>
      <c r="B92" s="270" t="s">
        <v>1004</v>
      </c>
      <c r="C92" s="270" t="s">
        <v>1076</v>
      </c>
      <c r="D92" s="270" t="s">
        <v>1002</v>
      </c>
    </row>
    <row r="93" spans="1:4" x14ac:dyDescent="0.25">
      <c r="A93" s="270" t="s">
        <v>1075</v>
      </c>
      <c r="B93" s="270" t="s">
        <v>1004</v>
      </c>
      <c r="C93" s="270" t="s">
        <v>1074</v>
      </c>
      <c r="D93" s="270" t="s">
        <v>1002</v>
      </c>
    </row>
    <row r="94" spans="1:4" ht="30" x14ac:dyDescent="0.25">
      <c r="A94" s="270" t="s">
        <v>1073</v>
      </c>
      <c r="B94" s="270" t="s">
        <v>1052</v>
      </c>
      <c r="C94" s="270" t="s">
        <v>1072</v>
      </c>
      <c r="D94" s="270" t="s">
        <v>1002</v>
      </c>
    </row>
    <row r="95" spans="1:4" ht="30" x14ac:dyDescent="0.25">
      <c r="A95" s="270" t="s">
        <v>1071</v>
      </c>
      <c r="B95" s="270" t="s">
        <v>1052</v>
      </c>
      <c r="C95" s="270" t="s">
        <v>1070</v>
      </c>
      <c r="D95" s="270" t="s">
        <v>1002</v>
      </c>
    </row>
    <row r="96" spans="1:4" x14ac:dyDescent="0.25">
      <c r="A96" s="270" t="s">
        <v>1069</v>
      </c>
      <c r="B96" s="270" t="s">
        <v>1052</v>
      </c>
      <c r="C96" s="270" t="s">
        <v>1068</v>
      </c>
      <c r="D96" s="270" t="s">
        <v>1002</v>
      </c>
    </row>
    <row r="97" spans="1:4" x14ac:dyDescent="0.25">
      <c r="A97" s="270" t="s">
        <v>1067</v>
      </c>
      <c r="B97" s="270" t="s">
        <v>1052</v>
      </c>
      <c r="C97" s="270" t="s">
        <v>1066</v>
      </c>
      <c r="D97" s="270" t="s">
        <v>1002</v>
      </c>
    </row>
    <row r="98" spans="1:4" x14ac:dyDescent="0.25">
      <c r="A98" s="270" t="s">
        <v>1065</v>
      </c>
      <c r="B98" s="270" t="s">
        <v>1052</v>
      </c>
      <c r="C98" s="270" t="s">
        <v>1064</v>
      </c>
      <c r="D98" s="270" t="s">
        <v>1002</v>
      </c>
    </row>
    <row r="99" spans="1:4" x14ac:dyDescent="0.25">
      <c r="A99" s="270" t="s">
        <v>1063</v>
      </c>
      <c r="B99" s="270" t="s">
        <v>1052</v>
      </c>
      <c r="C99" s="270" t="s">
        <v>1062</v>
      </c>
      <c r="D99" s="270" t="s">
        <v>1002</v>
      </c>
    </row>
    <row r="100" spans="1:4" x14ac:dyDescent="0.25">
      <c r="A100" s="270" t="s">
        <v>1061</v>
      </c>
      <c r="B100" s="270" t="s">
        <v>1052</v>
      </c>
      <c r="C100" s="270" t="s">
        <v>1060</v>
      </c>
      <c r="D100" s="270" t="s">
        <v>1002</v>
      </c>
    </row>
    <row r="101" spans="1:4" x14ac:dyDescent="0.25">
      <c r="A101" s="270" t="s">
        <v>1059</v>
      </c>
      <c r="B101" s="270" t="s">
        <v>1052</v>
      </c>
      <c r="C101" s="270" t="s">
        <v>1058</v>
      </c>
      <c r="D101" s="270" t="s">
        <v>1002</v>
      </c>
    </row>
    <row r="102" spans="1:4" x14ac:dyDescent="0.25">
      <c r="A102" s="270" t="s">
        <v>1057</v>
      </c>
      <c r="B102" s="270" t="s">
        <v>1052</v>
      </c>
      <c r="C102" s="270" t="s">
        <v>1056</v>
      </c>
      <c r="D102" s="270" t="s">
        <v>1002</v>
      </c>
    </row>
    <row r="103" spans="1:4" x14ac:dyDescent="0.25">
      <c r="A103" s="270" t="s">
        <v>1055</v>
      </c>
      <c r="B103" s="270" t="s">
        <v>1052</v>
      </c>
      <c r="C103" s="270" t="s">
        <v>1054</v>
      </c>
      <c r="D103" s="270" t="s">
        <v>1002</v>
      </c>
    </row>
    <row r="104" spans="1:4" x14ac:dyDescent="0.25">
      <c r="A104" s="270" t="s">
        <v>1053</v>
      </c>
      <c r="B104" s="270" t="s">
        <v>1052</v>
      </c>
      <c r="C104" s="270" t="s">
        <v>1051</v>
      </c>
      <c r="D104" s="270" t="s">
        <v>1002</v>
      </c>
    </row>
    <row r="105" spans="1:4" x14ac:dyDescent="0.25">
      <c r="A105" s="270" t="s">
        <v>1050</v>
      </c>
      <c r="B105" s="270" t="s">
        <v>1009</v>
      </c>
      <c r="C105" s="270" t="s">
        <v>1049</v>
      </c>
      <c r="D105" s="270" t="s">
        <v>1002</v>
      </c>
    </row>
    <row r="106" spans="1:4" x14ac:dyDescent="0.25">
      <c r="A106" s="270" t="s">
        <v>1048</v>
      </c>
      <c r="B106" s="270" t="s">
        <v>1009</v>
      </c>
      <c r="C106" s="270" t="s">
        <v>1047</v>
      </c>
      <c r="D106" s="270" t="s">
        <v>1002</v>
      </c>
    </row>
    <row r="107" spans="1:4" x14ac:dyDescent="0.25">
      <c r="A107" s="270" t="s">
        <v>1046</v>
      </c>
      <c r="B107" s="270" t="s">
        <v>1009</v>
      </c>
      <c r="C107" s="270" t="s">
        <v>1045</v>
      </c>
      <c r="D107" s="270" t="s">
        <v>1002</v>
      </c>
    </row>
    <row r="108" spans="1:4" x14ac:dyDescent="0.25">
      <c r="A108" s="270" t="s">
        <v>1044</v>
      </c>
      <c r="B108" s="270" t="s">
        <v>1009</v>
      </c>
      <c r="C108" s="270" t="s">
        <v>1043</v>
      </c>
      <c r="D108" s="270" t="s">
        <v>1002</v>
      </c>
    </row>
    <row r="109" spans="1:4" ht="30" x14ac:dyDescent="0.25">
      <c r="A109" s="270" t="s">
        <v>1042</v>
      </c>
      <c r="B109" s="270" t="s">
        <v>1009</v>
      </c>
      <c r="C109" s="270" t="s">
        <v>1041</v>
      </c>
      <c r="D109" s="270" t="s">
        <v>1002</v>
      </c>
    </row>
    <row r="110" spans="1:4" ht="30" x14ac:dyDescent="0.25">
      <c r="A110" s="270" t="s">
        <v>1040</v>
      </c>
      <c r="B110" s="270" t="s">
        <v>1009</v>
      </c>
      <c r="C110" s="270" t="s">
        <v>1039</v>
      </c>
      <c r="D110" s="270" t="s">
        <v>1002</v>
      </c>
    </row>
    <row r="111" spans="1:4" x14ac:dyDescent="0.25">
      <c r="A111" s="270" t="s">
        <v>1038</v>
      </c>
      <c r="B111" s="270" t="s">
        <v>1009</v>
      </c>
      <c r="C111" s="270" t="s">
        <v>1037</v>
      </c>
      <c r="D111" s="270" t="s">
        <v>1002</v>
      </c>
    </row>
    <row r="112" spans="1:4" x14ac:dyDescent="0.25">
      <c r="A112" s="270" t="s">
        <v>1036</v>
      </c>
      <c r="B112" s="270" t="s">
        <v>1009</v>
      </c>
      <c r="C112" s="270" t="s">
        <v>1035</v>
      </c>
      <c r="D112" s="270" t="s">
        <v>1002</v>
      </c>
    </row>
    <row r="113" spans="1:4" x14ac:dyDescent="0.25">
      <c r="A113" s="270" t="s">
        <v>1034</v>
      </c>
      <c r="B113" s="270" t="s">
        <v>1009</v>
      </c>
      <c r="C113" s="270" t="s">
        <v>1033</v>
      </c>
      <c r="D113" s="270" t="s">
        <v>1002</v>
      </c>
    </row>
    <row r="114" spans="1:4" x14ac:dyDescent="0.25">
      <c r="A114" s="270" t="s">
        <v>1032</v>
      </c>
      <c r="B114" s="270" t="s">
        <v>1018</v>
      </c>
      <c r="C114" s="270" t="s">
        <v>1031</v>
      </c>
      <c r="D114" s="270" t="s">
        <v>1002</v>
      </c>
    </row>
    <row r="115" spans="1:4" x14ac:dyDescent="0.25">
      <c r="A115" s="270" t="s">
        <v>1030</v>
      </c>
      <c r="B115" s="270" t="s">
        <v>1018</v>
      </c>
      <c r="C115" s="270" t="s">
        <v>1029</v>
      </c>
      <c r="D115" s="270" t="s">
        <v>1002</v>
      </c>
    </row>
    <row r="116" spans="1:4" x14ac:dyDescent="0.25">
      <c r="A116" s="270" t="s">
        <v>1028</v>
      </c>
      <c r="B116" s="270" t="s">
        <v>1018</v>
      </c>
      <c r="C116" s="270" t="s">
        <v>1027</v>
      </c>
      <c r="D116" s="270" t="s">
        <v>1002</v>
      </c>
    </row>
    <row r="117" spans="1:4" ht="30" x14ac:dyDescent="0.25">
      <c r="A117" s="270" t="s">
        <v>1026</v>
      </c>
      <c r="B117" s="270" t="s">
        <v>1018</v>
      </c>
      <c r="C117" s="270" t="s">
        <v>1025</v>
      </c>
      <c r="D117" s="270" t="s">
        <v>1024</v>
      </c>
    </row>
    <row r="118" spans="1:4" x14ac:dyDescent="0.25">
      <c r="A118" s="270" t="s">
        <v>1023</v>
      </c>
      <c r="B118" s="270" t="s">
        <v>1018</v>
      </c>
      <c r="C118" s="270" t="s">
        <v>1022</v>
      </c>
      <c r="D118" s="270" t="s">
        <v>1002</v>
      </c>
    </row>
    <row r="119" spans="1:4" x14ac:dyDescent="0.25">
      <c r="A119" s="270" t="s">
        <v>1021</v>
      </c>
      <c r="B119" s="270" t="s">
        <v>1004</v>
      </c>
      <c r="C119" s="270" t="s">
        <v>1020</v>
      </c>
      <c r="D119" s="270" t="s">
        <v>1002</v>
      </c>
    </row>
    <row r="120" spans="1:4" x14ac:dyDescent="0.25">
      <c r="A120" s="270" t="s">
        <v>1019</v>
      </c>
      <c r="B120" s="270" t="s">
        <v>1018</v>
      </c>
      <c r="C120" s="270" t="s">
        <v>1017</v>
      </c>
      <c r="D120" s="270" t="s">
        <v>1002</v>
      </c>
    </row>
    <row r="121" spans="1:4" x14ac:dyDescent="0.25">
      <c r="A121" s="270" t="s">
        <v>1016</v>
      </c>
      <c r="B121" s="270" t="s">
        <v>1004</v>
      </c>
      <c r="C121" s="270" t="s">
        <v>1015</v>
      </c>
      <c r="D121" s="270" t="s">
        <v>1002</v>
      </c>
    </row>
    <row r="122" spans="1:4" x14ac:dyDescent="0.25">
      <c r="A122" s="270" t="s">
        <v>1014</v>
      </c>
      <c r="B122" s="270" t="s">
        <v>1004</v>
      </c>
      <c r="C122" s="270" t="s">
        <v>1013</v>
      </c>
      <c r="D122" s="270" t="s">
        <v>1002</v>
      </c>
    </row>
    <row r="123" spans="1:4" x14ac:dyDescent="0.25">
      <c r="A123" s="270" t="s">
        <v>1012</v>
      </c>
      <c r="B123" s="270" t="s">
        <v>1004</v>
      </c>
      <c r="C123" s="270" t="s">
        <v>1011</v>
      </c>
      <c r="D123" s="270" t="s">
        <v>1002</v>
      </c>
    </row>
    <row r="124" spans="1:4" x14ac:dyDescent="0.25">
      <c r="A124" s="270" t="s">
        <v>1010</v>
      </c>
      <c r="B124" s="270" t="s">
        <v>1009</v>
      </c>
      <c r="C124" s="270" t="s">
        <v>1008</v>
      </c>
      <c r="D124" s="270" t="s">
        <v>1002</v>
      </c>
    </row>
    <row r="125" spans="1:4" x14ac:dyDescent="0.25">
      <c r="A125" s="270" t="s">
        <v>1007</v>
      </c>
      <c r="B125" s="270" t="s">
        <v>1004</v>
      </c>
      <c r="C125" s="270" t="s">
        <v>1006</v>
      </c>
      <c r="D125" s="270" t="s">
        <v>1002</v>
      </c>
    </row>
    <row r="126" spans="1:4" x14ac:dyDescent="0.25">
      <c r="A126" s="270" t="s">
        <v>1005</v>
      </c>
      <c r="B126" s="270" t="s">
        <v>1004</v>
      </c>
      <c r="C126" s="270" t="s">
        <v>1003</v>
      </c>
      <c r="D126" s="270" t="s">
        <v>1002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1"/>
  <sheetViews>
    <sheetView workbookViewId="0">
      <selection activeCell="B38" sqref="B38"/>
    </sheetView>
  </sheetViews>
  <sheetFormatPr defaultRowHeight="15" x14ac:dyDescent="0.25"/>
  <cols>
    <col min="1" max="1" width="39" style="269" customWidth="1"/>
    <col min="2" max="3" width="14" style="269" customWidth="1"/>
    <col min="4" max="4" width="62.42578125" style="269" customWidth="1"/>
    <col min="5" max="16384" width="9.140625" style="269"/>
  </cols>
  <sheetData>
    <row r="1" spans="1:4" x14ac:dyDescent="0.25">
      <c r="A1" s="271" t="s">
        <v>1345</v>
      </c>
      <c r="B1" s="271" t="s">
        <v>1344</v>
      </c>
      <c r="C1" s="271" t="s">
        <v>1343</v>
      </c>
      <c r="D1" s="271" t="s">
        <v>1342</v>
      </c>
    </row>
    <row r="2" spans="1:4" x14ac:dyDescent="0.25">
      <c r="A2" s="270" t="s">
        <v>510</v>
      </c>
      <c r="B2" s="273">
        <v>1</v>
      </c>
      <c r="C2" s="270" t="s">
        <v>1341</v>
      </c>
      <c r="D2" s="270" t="s">
        <v>1340</v>
      </c>
    </row>
    <row r="3" spans="1:4" x14ac:dyDescent="0.25">
      <c r="A3" s="270" t="s">
        <v>510</v>
      </c>
      <c r="B3" s="273">
        <v>2</v>
      </c>
      <c r="C3" s="270" t="s">
        <v>1339</v>
      </c>
      <c r="D3" s="270" t="s">
        <v>1338</v>
      </c>
    </row>
    <row r="4" spans="1:4" x14ac:dyDescent="0.25">
      <c r="A4" s="270" t="s">
        <v>510</v>
      </c>
      <c r="B4" s="273">
        <v>3</v>
      </c>
      <c r="C4" s="270" t="s">
        <v>1337</v>
      </c>
      <c r="D4" s="270" t="s">
        <v>1336</v>
      </c>
    </row>
    <row r="5" spans="1:4" x14ac:dyDescent="0.25">
      <c r="A5" s="270" t="s">
        <v>510</v>
      </c>
      <c r="B5" s="273">
        <v>4</v>
      </c>
      <c r="C5" s="270" t="s">
        <v>1335</v>
      </c>
      <c r="D5" s="270" t="s">
        <v>1334</v>
      </c>
    </row>
    <row r="6" spans="1:4" x14ac:dyDescent="0.25">
      <c r="A6" s="270" t="s">
        <v>510</v>
      </c>
      <c r="B6" s="273">
        <v>5</v>
      </c>
      <c r="C6" s="270" t="s">
        <v>1333</v>
      </c>
      <c r="D6" s="270" t="s">
        <v>1332</v>
      </c>
    </row>
    <row r="7" spans="1:4" x14ac:dyDescent="0.25">
      <c r="A7" s="270" t="s">
        <v>510</v>
      </c>
      <c r="B7" s="273">
        <v>6</v>
      </c>
      <c r="C7" s="270" t="s">
        <v>1331</v>
      </c>
      <c r="D7" s="270" t="s">
        <v>1330</v>
      </c>
    </row>
    <row r="8" spans="1:4" x14ac:dyDescent="0.25">
      <c r="A8" s="270" t="s">
        <v>510</v>
      </c>
      <c r="B8" s="273">
        <v>7</v>
      </c>
      <c r="C8" s="270" t="s">
        <v>1329</v>
      </c>
      <c r="D8" s="270" t="s">
        <v>1328</v>
      </c>
    </row>
    <row r="9" spans="1:4" x14ac:dyDescent="0.25">
      <c r="A9" s="270" t="s">
        <v>510</v>
      </c>
      <c r="B9" s="273">
        <v>8</v>
      </c>
      <c r="C9" s="270" t="s">
        <v>1327</v>
      </c>
      <c r="D9" s="270" t="s">
        <v>1326</v>
      </c>
    </row>
    <row r="10" spans="1:4" x14ac:dyDescent="0.25">
      <c r="A10" s="270" t="s">
        <v>510</v>
      </c>
      <c r="B10" s="273">
        <v>9</v>
      </c>
      <c r="C10" s="270" t="s">
        <v>1325</v>
      </c>
      <c r="D10" s="270" t="s">
        <v>1324</v>
      </c>
    </row>
    <row r="11" spans="1:4" x14ac:dyDescent="0.25">
      <c r="A11" s="270" t="s">
        <v>510</v>
      </c>
      <c r="B11" s="273">
        <v>10</v>
      </c>
      <c r="C11" s="270" t="s">
        <v>1323</v>
      </c>
      <c r="D11" s="270" t="s">
        <v>1322</v>
      </c>
    </row>
    <row r="12" spans="1:4" x14ac:dyDescent="0.25">
      <c r="A12" s="270" t="s">
        <v>510</v>
      </c>
      <c r="B12" s="273">
        <v>11</v>
      </c>
      <c r="C12" s="270" t="s">
        <v>1321</v>
      </c>
      <c r="D12" s="270" t="s">
        <v>1320</v>
      </c>
    </row>
    <row r="13" spans="1:4" x14ac:dyDescent="0.25">
      <c r="A13" s="270" t="s">
        <v>510</v>
      </c>
      <c r="B13" s="273">
        <v>12</v>
      </c>
      <c r="C13" s="270" t="s">
        <v>1319</v>
      </c>
      <c r="D13" s="270" t="s">
        <v>1318</v>
      </c>
    </row>
    <row r="14" spans="1:4" x14ac:dyDescent="0.25">
      <c r="A14" s="270" t="s">
        <v>510</v>
      </c>
      <c r="B14" s="273">
        <v>13</v>
      </c>
      <c r="C14" s="270" t="s">
        <v>1317</v>
      </c>
      <c r="D14" s="270" t="s">
        <v>1316</v>
      </c>
    </row>
    <row r="15" spans="1:4" x14ac:dyDescent="0.25">
      <c r="A15" s="270" t="s">
        <v>510</v>
      </c>
      <c r="B15" s="273">
        <v>15</v>
      </c>
      <c r="C15" s="270" t="s">
        <v>1315</v>
      </c>
      <c r="D15" s="270" t="s">
        <v>1314</v>
      </c>
    </row>
    <row r="16" spans="1:4" x14ac:dyDescent="0.25">
      <c r="A16" s="270" t="s">
        <v>510</v>
      </c>
      <c r="B16" s="273">
        <v>18</v>
      </c>
      <c r="C16" s="270" t="s">
        <v>1313</v>
      </c>
      <c r="D16" s="270" t="s">
        <v>1312</v>
      </c>
    </row>
    <row r="17" spans="1:4" x14ac:dyDescent="0.25">
      <c r="A17" s="270" t="s">
        <v>510</v>
      </c>
      <c r="B17" s="273">
        <v>19</v>
      </c>
      <c r="C17" s="270" t="s">
        <v>1311</v>
      </c>
      <c r="D17" s="270" t="s">
        <v>1310</v>
      </c>
    </row>
    <row r="18" spans="1:4" x14ac:dyDescent="0.25">
      <c r="A18" s="270" t="s">
        <v>510</v>
      </c>
      <c r="B18" s="273">
        <v>20</v>
      </c>
      <c r="C18" s="270" t="s">
        <v>1309</v>
      </c>
      <c r="D18" s="270" t="s">
        <v>1308</v>
      </c>
    </row>
    <row r="19" spans="1:4" x14ac:dyDescent="0.25">
      <c r="A19" s="270" t="s">
        <v>510</v>
      </c>
      <c r="B19" s="273">
        <v>21</v>
      </c>
      <c r="C19" s="270" t="s">
        <v>1307</v>
      </c>
      <c r="D19" s="270" t="s">
        <v>1306</v>
      </c>
    </row>
    <row r="20" spans="1:4" x14ac:dyDescent="0.25">
      <c r="A20" s="270" t="s">
        <v>510</v>
      </c>
      <c r="B20" s="273">
        <v>22</v>
      </c>
      <c r="C20" s="270" t="s">
        <v>1305</v>
      </c>
      <c r="D20" s="270" t="s">
        <v>1304</v>
      </c>
    </row>
    <row r="21" spans="1:4" x14ac:dyDescent="0.25">
      <c r="A21" s="270" t="s">
        <v>510</v>
      </c>
      <c r="B21" s="273">
        <v>23</v>
      </c>
      <c r="C21" s="270" t="s">
        <v>1303</v>
      </c>
      <c r="D21" s="270" t="s">
        <v>1302</v>
      </c>
    </row>
    <row r="22" spans="1:4" x14ac:dyDescent="0.25">
      <c r="A22" s="270" t="s">
        <v>510</v>
      </c>
      <c r="B22" s="273">
        <v>24</v>
      </c>
      <c r="C22" s="270" t="s">
        <v>1301</v>
      </c>
      <c r="D22" s="270" t="s">
        <v>1300</v>
      </c>
    </row>
    <row r="23" spans="1:4" x14ac:dyDescent="0.25">
      <c r="A23" s="270" t="s">
        <v>510</v>
      </c>
      <c r="B23" s="273">
        <v>25</v>
      </c>
      <c r="C23" s="270" t="s">
        <v>1299</v>
      </c>
      <c r="D23" s="270" t="s">
        <v>1298</v>
      </c>
    </row>
    <row r="24" spans="1:4" x14ac:dyDescent="0.25">
      <c r="A24" s="270" t="s">
        <v>510</v>
      </c>
      <c r="B24" s="273">
        <v>26</v>
      </c>
      <c r="C24" s="270" t="s">
        <v>1297</v>
      </c>
      <c r="D24" s="270" t="s">
        <v>1296</v>
      </c>
    </row>
    <row r="25" spans="1:4" x14ac:dyDescent="0.25">
      <c r="A25" s="270" t="s">
        <v>510</v>
      </c>
      <c r="B25" s="273">
        <v>27</v>
      </c>
      <c r="C25" s="270" t="s">
        <v>1295</v>
      </c>
      <c r="D25" s="270" t="s">
        <v>1294</v>
      </c>
    </row>
    <row r="26" spans="1:4" x14ac:dyDescent="0.25">
      <c r="A26" s="270" t="s">
        <v>510</v>
      </c>
      <c r="B26" s="273">
        <v>28</v>
      </c>
      <c r="C26" s="270" t="s">
        <v>1293</v>
      </c>
      <c r="D26" s="270" t="s">
        <v>1292</v>
      </c>
    </row>
    <row r="27" spans="1:4" x14ac:dyDescent="0.25">
      <c r="A27" s="270" t="s">
        <v>510</v>
      </c>
      <c r="B27" s="273">
        <v>29</v>
      </c>
      <c r="C27" s="270" t="s">
        <v>1291</v>
      </c>
      <c r="D27" s="270" t="s">
        <v>1290</v>
      </c>
    </row>
    <row r="28" spans="1:4" x14ac:dyDescent="0.25">
      <c r="A28" s="270" t="s">
        <v>510</v>
      </c>
      <c r="B28" s="273">
        <v>30</v>
      </c>
      <c r="C28" s="270" t="s">
        <v>1289</v>
      </c>
      <c r="D28" s="270" t="s">
        <v>1288</v>
      </c>
    </row>
    <row r="29" spans="1:4" x14ac:dyDescent="0.25">
      <c r="A29" s="270" t="s">
        <v>510</v>
      </c>
      <c r="B29" s="273">
        <v>31</v>
      </c>
      <c r="C29" s="270" t="s">
        <v>1287</v>
      </c>
      <c r="D29" s="270" t="s">
        <v>1286</v>
      </c>
    </row>
    <row r="30" spans="1:4" x14ac:dyDescent="0.25">
      <c r="A30" s="270" t="s">
        <v>510</v>
      </c>
      <c r="B30" s="273">
        <v>32</v>
      </c>
      <c r="C30" s="270" t="s">
        <v>1285</v>
      </c>
      <c r="D30" s="270" t="s">
        <v>1284</v>
      </c>
    </row>
    <row r="31" spans="1:4" x14ac:dyDescent="0.25">
      <c r="A31" s="270" t="s">
        <v>510</v>
      </c>
      <c r="B31" s="273">
        <v>33</v>
      </c>
      <c r="C31" s="270" t="s">
        <v>1283</v>
      </c>
      <c r="D31" s="270" t="s">
        <v>1282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142"/>
  <sheetViews>
    <sheetView topLeftCell="A85" zoomScale="80" zoomScaleNormal="80" workbookViewId="0">
      <selection activeCell="H46" sqref="H46"/>
    </sheetView>
  </sheetViews>
  <sheetFormatPr defaultRowHeight="12.75" x14ac:dyDescent="0.2"/>
  <cols>
    <col min="1" max="1" width="28.5703125" style="81" customWidth="1"/>
    <col min="2" max="2" width="40.140625" style="81" customWidth="1"/>
    <col min="3" max="3" width="16.140625" style="81" customWidth="1"/>
    <col min="4" max="4" width="17" style="81" customWidth="1"/>
    <col min="5" max="5" width="56.28515625" style="91" bestFit="1" customWidth="1"/>
    <col min="6" max="10" width="9.140625" style="81"/>
  </cols>
  <sheetData>
    <row r="2" spans="1:10" ht="13.5" thickBot="1" x14ac:dyDescent="0.25"/>
    <row r="3" spans="1:10" x14ac:dyDescent="0.2">
      <c r="A3" s="305" t="s">
        <v>190</v>
      </c>
      <c r="B3" s="335" t="s">
        <v>0</v>
      </c>
      <c r="C3" s="336"/>
      <c r="D3" s="337"/>
      <c r="E3" s="50" t="s">
        <v>189</v>
      </c>
    </row>
    <row r="4" spans="1:10" x14ac:dyDescent="0.2">
      <c r="A4" s="306"/>
      <c r="B4" s="323" t="s">
        <v>2</v>
      </c>
      <c r="C4" s="338"/>
      <c r="D4" s="324"/>
      <c r="E4" s="92"/>
    </row>
    <row r="5" spans="1:10" x14ac:dyDescent="0.2">
      <c r="A5" s="306"/>
      <c r="B5" s="323" t="s">
        <v>3</v>
      </c>
      <c r="C5" s="338"/>
      <c r="D5" s="324"/>
      <c r="E5" s="92"/>
    </row>
    <row r="6" spans="1:10" x14ac:dyDescent="0.2">
      <c r="A6" s="306"/>
      <c r="B6" s="280" t="s">
        <v>4</v>
      </c>
      <c r="C6" s="280" t="s">
        <v>5</v>
      </c>
      <c r="D6" s="79" t="s">
        <v>6</v>
      </c>
      <c r="E6" s="92" t="s">
        <v>600</v>
      </c>
    </row>
    <row r="7" spans="1:10" x14ac:dyDescent="0.2">
      <c r="A7" s="306"/>
      <c r="B7" s="280"/>
      <c r="C7" s="281"/>
      <c r="D7" s="79" t="s">
        <v>7</v>
      </c>
      <c r="E7" s="92">
        <v>7000</v>
      </c>
    </row>
    <row r="8" spans="1:10" x14ac:dyDescent="0.2">
      <c r="A8" s="306"/>
      <c r="B8" s="280"/>
      <c r="C8" s="281"/>
      <c r="D8" s="79" t="s">
        <v>8</v>
      </c>
      <c r="E8" s="92">
        <v>7100</v>
      </c>
    </row>
    <row r="9" spans="1:10" x14ac:dyDescent="0.2">
      <c r="A9" s="306"/>
      <c r="B9" s="280" t="s">
        <v>9</v>
      </c>
      <c r="C9" s="323" t="s">
        <v>10</v>
      </c>
      <c r="D9" s="324"/>
      <c r="E9" s="92" t="s">
        <v>202</v>
      </c>
    </row>
    <row r="10" spans="1:10" ht="13.5" thickBot="1" x14ac:dyDescent="0.25">
      <c r="A10" s="307"/>
      <c r="B10" s="319"/>
      <c r="C10" s="325" t="s">
        <v>11</v>
      </c>
      <c r="D10" s="326"/>
      <c r="E10" s="93"/>
    </row>
    <row r="11" spans="1:10" s="11" customFormat="1" ht="13.5" thickBot="1" x14ac:dyDescent="0.25">
      <c r="A11" s="81"/>
      <c r="B11" s="81"/>
      <c r="C11" s="81"/>
      <c r="D11" s="81"/>
      <c r="E11" s="91"/>
      <c r="F11" s="81"/>
      <c r="G11" s="81"/>
      <c r="H11" s="81"/>
      <c r="I11" s="81"/>
      <c r="J11" s="81"/>
    </row>
    <row r="12" spans="1:10" s="11" customFormat="1" x14ac:dyDescent="0.2">
      <c r="A12" s="305" t="s">
        <v>409</v>
      </c>
      <c r="B12" s="335" t="s">
        <v>0</v>
      </c>
      <c r="C12" s="336"/>
      <c r="D12" s="337"/>
      <c r="E12" s="50" t="s">
        <v>192</v>
      </c>
      <c r="F12" s="81"/>
      <c r="G12" s="81"/>
      <c r="H12" s="81"/>
      <c r="I12" s="81"/>
      <c r="J12" s="81"/>
    </row>
    <row r="13" spans="1:10" s="11" customFormat="1" x14ac:dyDescent="0.2">
      <c r="A13" s="306"/>
      <c r="B13" s="323" t="s">
        <v>2</v>
      </c>
      <c r="C13" s="338"/>
      <c r="D13" s="324"/>
      <c r="E13" s="92"/>
      <c r="F13" s="81"/>
      <c r="G13" s="81"/>
      <c r="H13" s="81"/>
      <c r="I13" s="81"/>
      <c r="J13" s="81"/>
    </row>
    <row r="14" spans="1:10" s="11" customFormat="1" x14ac:dyDescent="0.2">
      <c r="A14" s="306"/>
      <c r="B14" s="323" t="s">
        <v>3</v>
      </c>
      <c r="C14" s="338"/>
      <c r="D14" s="324"/>
      <c r="E14" s="92"/>
      <c r="F14" s="81"/>
      <c r="G14" s="81"/>
      <c r="H14" s="81"/>
      <c r="I14" s="81"/>
      <c r="J14" s="81"/>
    </row>
    <row r="15" spans="1:10" s="11" customFormat="1" x14ac:dyDescent="0.2">
      <c r="A15" s="306"/>
      <c r="B15" s="280" t="s">
        <v>4</v>
      </c>
      <c r="C15" s="280" t="s">
        <v>5</v>
      </c>
      <c r="D15" s="79" t="s">
        <v>6</v>
      </c>
      <c r="E15" s="92"/>
      <c r="F15" s="81"/>
      <c r="G15" s="81"/>
      <c r="H15" s="81"/>
      <c r="I15" s="81"/>
      <c r="J15" s="81"/>
    </row>
    <row r="16" spans="1:10" s="11" customFormat="1" x14ac:dyDescent="0.2">
      <c r="A16" s="306"/>
      <c r="B16" s="280"/>
      <c r="C16" s="281"/>
      <c r="D16" s="79" t="s">
        <v>7</v>
      </c>
      <c r="E16" s="92"/>
      <c r="F16" s="81"/>
      <c r="G16" s="81"/>
      <c r="H16" s="81"/>
      <c r="I16" s="81"/>
      <c r="J16" s="81"/>
    </row>
    <row r="17" spans="1:10" s="11" customFormat="1" x14ac:dyDescent="0.2">
      <c r="A17" s="306"/>
      <c r="B17" s="280"/>
      <c r="C17" s="281"/>
      <c r="D17" s="79" t="s">
        <v>8</v>
      </c>
      <c r="E17" s="92"/>
      <c r="F17" s="81"/>
      <c r="G17" s="81"/>
      <c r="H17" s="81"/>
      <c r="I17" s="81"/>
      <c r="J17" s="81"/>
    </row>
    <row r="18" spans="1:10" s="11" customFormat="1" x14ac:dyDescent="0.2">
      <c r="A18" s="306"/>
      <c r="B18" s="280" t="s">
        <v>9</v>
      </c>
      <c r="C18" s="323" t="s">
        <v>10</v>
      </c>
      <c r="D18" s="324"/>
      <c r="E18" s="92"/>
      <c r="F18" s="81"/>
      <c r="G18" s="81"/>
      <c r="H18" s="81"/>
      <c r="I18" s="81"/>
      <c r="J18" s="81"/>
    </row>
    <row r="19" spans="1:10" s="11" customFormat="1" ht="13.5" thickBot="1" x14ac:dyDescent="0.25">
      <c r="A19" s="307"/>
      <c r="B19" s="319"/>
      <c r="C19" s="325" t="s">
        <v>11</v>
      </c>
      <c r="D19" s="326"/>
      <c r="E19" s="94" t="s">
        <v>202</v>
      </c>
      <c r="F19" s="81"/>
      <c r="G19" s="81"/>
      <c r="H19" s="81"/>
      <c r="I19" s="81"/>
      <c r="J19" s="81"/>
    </row>
    <row r="20" spans="1:10" s="37" customFormat="1" ht="13.5" thickBot="1" x14ac:dyDescent="0.25">
      <c r="A20" s="81"/>
      <c r="B20" s="81"/>
      <c r="C20" s="81"/>
      <c r="D20" s="81"/>
      <c r="E20" s="91"/>
      <c r="F20" s="81"/>
      <c r="G20" s="81"/>
      <c r="H20" s="81"/>
      <c r="I20" s="81"/>
      <c r="J20" s="81"/>
    </row>
    <row r="21" spans="1:10" s="11" customFormat="1" x14ac:dyDescent="0.2">
      <c r="A21" s="305" t="s">
        <v>408</v>
      </c>
      <c r="B21" s="304" t="s">
        <v>0</v>
      </c>
      <c r="C21" s="304"/>
      <c r="D21" s="304"/>
      <c r="E21" s="50" t="s">
        <v>195</v>
      </c>
      <c r="F21" s="81"/>
      <c r="G21" s="81"/>
      <c r="H21" s="81"/>
      <c r="I21" s="81"/>
      <c r="J21" s="81"/>
    </row>
    <row r="22" spans="1:10" s="11" customFormat="1" x14ac:dyDescent="0.2">
      <c r="A22" s="306"/>
      <c r="B22" s="280" t="s">
        <v>2</v>
      </c>
      <c r="C22" s="280"/>
      <c r="D22" s="280"/>
      <c r="E22" s="92"/>
      <c r="F22" s="81"/>
      <c r="G22" s="81"/>
      <c r="H22" s="81"/>
      <c r="I22" s="81"/>
      <c r="J22" s="81"/>
    </row>
    <row r="23" spans="1:10" s="11" customFormat="1" x14ac:dyDescent="0.2">
      <c r="A23" s="306"/>
      <c r="B23" s="280" t="s">
        <v>3</v>
      </c>
      <c r="C23" s="280"/>
      <c r="D23" s="280"/>
      <c r="E23" s="92"/>
      <c r="F23" s="81"/>
      <c r="G23" s="81"/>
      <c r="H23" s="81"/>
      <c r="I23" s="81"/>
      <c r="J23" s="81"/>
    </row>
    <row r="24" spans="1:10" s="11" customFormat="1" x14ac:dyDescent="0.2">
      <c r="A24" s="306"/>
      <c r="B24" s="280" t="s">
        <v>4</v>
      </c>
      <c r="C24" s="280" t="s">
        <v>5</v>
      </c>
      <c r="D24" s="79" t="s">
        <v>6</v>
      </c>
      <c r="E24" s="92"/>
      <c r="F24" s="81"/>
      <c r="G24" s="81"/>
      <c r="H24" s="81"/>
      <c r="I24" s="81"/>
      <c r="J24" s="81"/>
    </row>
    <row r="25" spans="1:10" s="11" customFormat="1" x14ac:dyDescent="0.2">
      <c r="A25" s="306"/>
      <c r="B25" s="280"/>
      <c r="C25" s="281"/>
      <c r="D25" s="79" t="s">
        <v>7</v>
      </c>
      <c r="E25" s="92">
        <v>7711</v>
      </c>
      <c r="F25" s="81"/>
      <c r="G25" s="81"/>
      <c r="H25" s="81"/>
      <c r="I25" s="81"/>
      <c r="J25" s="81"/>
    </row>
    <row r="26" spans="1:10" s="11" customFormat="1" x14ac:dyDescent="0.2">
      <c r="A26" s="306"/>
      <c r="B26" s="280"/>
      <c r="C26" s="281"/>
      <c r="D26" s="79" t="s">
        <v>8</v>
      </c>
      <c r="E26" s="92">
        <v>7712</v>
      </c>
      <c r="F26" s="81"/>
      <c r="G26" s="81"/>
      <c r="H26" s="81"/>
      <c r="I26" s="81"/>
      <c r="J26" s="81"/>
    </row>
    <row r="27" spans="1:10" s="11" customFormat="1" x14ac:dyDescent="0.2">
      <c r="A27" s="306"/>
      <c r="B27" s="280" t="s">
        <v>9</v>
      </c>
      <c r="C27" s="280" t="s">
        <v>10</v>
      </c>
      <c r="D27" s="280"/>
      <c r="E27" s="92"/>
      <c r="F27" s="81"/>
      <c r="G27" s="81"/>
      <c r="H27" s="81"/>
      <c r="I27" s="81"/>
      <c r="J27" s="81"/>
    </row>
    <row r="28" spans="1:10" s="11" customFormat="1" ht="13.5" thickBot="1" x14ac:dyDescent="0.25">
      <c r="A28" s="307"/>
      <c r="B28" s="319"/>
      <c r="C28" s="302" t="s">
        <v>11</v>
      </c>
      <c r="D28" s="302"/>
      <c r="E28" s="94" t="s">
        <v>202</v>
      </c>
      <c r="F28" s="81"/>
      <c r="G28" s="81"/>
      <c r="H28" s="81"/>
      <c r="I28" s="81"/>
      <c r="J28" s="81"/>
    </row>
    <row r="29" spans="1:10" ht="13.5" thickBot="1" x14ac:dyDescent="0.25"/>
    <row r="30" spans="1:10" x14ac:dyDescent="0.2">
      <c r="A30" s="305" t="s">
        <v>191</v>
      </c>
      <c r="B30" s="335" t="s">
        <v>0</v>
      </c>
      <c r="C30" s="336"/>
      <c r="D30" s="337"/>
      <c r="E30" s="50" t="s">
        <v>192</v>
      </c>
    </row>
    <row r="31" spans="1:10" x14ac:dyDescent="0.2">
      <c r="A31" s="306"/>
      <c r="B31" s="323" t="s">
        <v>2</v>
      </c>
      <c r="C31" s="338"/>
      <c r="D31" s="324"/>
      <c r="E31" s="92"/>
    </row>
    <row r="32" spans="1:10" x14ac:dyDescent="0.2">
      <c r="A32" s="306"/>
      <c r="B32" s="323" t="s">
        <v>3</v>
      </c>
      <c r="C32" s="338"/>
      <c r="D32" s="324"/>
      <c r="E32" s="92"/>
    </row>
    <row r="33" spans="1:10" x14ac:dyDescent="0.2">
      <c r="A33" s="306"/>
      <c r="B33" s="280" t="s">
        <v>4</v>
      </c>
      <c r="C33" s="280" t="s">
        <v>5</v>
      </c>
      <c r="D33" s="79" t="s">
        <v>6</v>
      </c>
      <c r="E33" s="92" t="s">
        <v>601</v>
      </c>
    </row>
    <row r="34" spans="1:10" x14ac:dyDescent="0.2">
      <c r="A34" s="306"/>
      <c r="B34" s="280"/>
      <c r="C34" s="281"/>
      <c r="D34" s="79" t="s">
        <v>7</v>
      </c>
      <c r="E34" s="92"/>
    </row>
    <row r="35" spans="1:10" x14ac:dyDescent="0.2">
      <c r="A35" s="306"/>
      <c r="B35" s="280"/>
      <c r="C35" s="281"/>
      <c r="D35" s="79" t="s">
        <v>8</v>
      </c>
      <c r="E35" s="92"/>
    </row>
    <row r="36" spans="1:10" x14ac:dyDescent="0.2">
      <c r="A36" s="306"/>
      <c r="B36" s="280" t="s">
        <v>9</v>
      </c>
      <c r="C36" s="323" t="s">
        <v>10</v>
      </c>
      <c r="D36" s="324"/>
      <c r="E36" s="92"/>
    </row>
    <row r="37" spans="1:10" ht="13.5" thickBot="1" x14ac:dyDescent="0.25">
      <c r="A37" s="307"/>
      <c r="B37" s="319"/>
      <c r="C37" s="325" t="s">
        <v>11</v>
      </c>
      <c r="D37" s="326"/>
      <c r="E37" s="94" t="s">
        <v>202</v>
      </c>
    </row>
    <row r="38" spans="1:10" s="37" customFormat="1" ht="13.5" thickBot="1" x14ac:dyDescent="0.25">
      <c r="A38" s="81"/>
      <c r="B38" s="81"/>
      <c r="C38" s="81"/>
      <c r="D38" s="81"/>
      <c r="E38" s="91"/>
      <c r="F38" s="81"/>
      <c r="G38" s="81"/>
      <c r="H38" s="81"/>
      <c r="I38" s="81"/>
      <c r="J38" s="81"/>
    </row>
    <row r="39" spans="1:10" x14ac:dyDescent="0.2">
      <c r="A39" s="305" t="s">
        <v>193</v>
      </c>
      <c r="B39" s="327" t="s">
        <v>0</v>
      </c>
      <c r="C39" s="328"/>
      <c r="D39" s="329"/>
      <c r="E39" s="50" t="s">
        <v>192</v>
      </c>
    </row>
    <row r="40" spans="1:10" x14ac:dyDescent="0.2">
      <c r="A40" s="306"/>
      <c r="B40" s="330" t="s">
        <v>2</v>
      </c>
      <c r="C40" s="331"/>
      <c r="D40" s="332"/>
      <c r="E40" s="92"/>
    </row>
    <row r="41" spans="1:10" x14ac:dyDescent="0.2">
      <c r="A41" s="306"/>
      <c r="B41" s="330" t="s">
        <v>3</v>
      </c>
      <c r="C41" s="331"/>
      <c r="D41" s="332"/>
      <c r="E41" s="92"/>
    </row>
    <row r="42" spans="1:10" x14ac:dyDescent="0.2">
      <c r="A42" s="306"/>
      <c r="B42" s="280" t="s">
        <v>4</v>
      </c>
      <c r="C42" s="280" t="s">
        <v>5</v>
      </c>
      <c r="D42" s="79" t="s">
        <v>6</v>
      </c>
      <c r="E42" s="92" t="s">
        <v>602</v>
      </c>
    </row>
    <row r="43" spans="1:10" x14ac:dyDescent="0.2">
      <c r="A43" s="306"/>
      <c r="B43" s="280"/>
      <c r="C43" s="281"/>
      <c r="D43" s="79" t="s">
        <v>7</v>
      </c>
      <c r="E43" s="92"/>
      <c r="I43" s="95"/>
      <c r="J43" s="95"/>
    </row>
    <row r="44" spans="1:10" x14ac:dyDescent="0.2">
      <c r="A44" s="306"/>
      <c r="B44" s="280"/>
      <c r="C44" s="281"/>
      <c r="D44" s="79" t="s">
        <v>8</v>
      </c>
      <c r="E44" s="92"/>
    </row>
    <row r="45" spans="1:10" x14ac:dyDescent="0.2">
      <c r="A45" s="306"/>
      <c r="B45" s="280" t="s">
        <v>9</v>
      </c>
      <c r="C45" s="330" t="s">
        <v>10</v>
      </c>
      <c r="D45" s="332"/>
      <c r="E45" s="92"/>
    </row>
    <row r="46" spans="1:10" ht="13.5" thickBot="1" x14ac:dyDescent="0.25">
      <c r="A46" s="307"/>
      <c r="B46" s="319"/>
      <c r="C46" s="333" t="s">
        <v>11</v>
      </c>
      <c r="D46" s="334"/>
      <c r="E46" s="94" t="s">
        <v>202</v>
      </c>
    </row>
    <row r="47" spans="1:10" ht="13.5" thickBot="1" x14ac:dyDescent="0.25">
      <c r="A47" s="96"/>
      <c r="B47" s="95"/>
      <c r="C47" s="80"/>
    </row>
    <row r="48" spans="1:10" x14ac:dyDescent="0.2">
      <c r="A48" s="305" t="s">
        <v>194</v>
      </c>
      <c r="B48" s="304" t="s">
        <v>0</v>
      </c>
      <c r="C48" s="304"/>
      <c r="D48" s="304"/>
      <c r="E48" s="50" t="s">
        <v>195</v>
      </c>
    </row>
    <row r="49" spans="1:5" x14ac:dyDescent="0.2">
      <c r="A49" s="306"/>
      <c r="B49" s="280" t="s">
        <v>2</v>
      </c>
      <c r="C49" s="280"/>
      <c r="D49" s="280"/>
      <c r="E49" s="92"/>
    </row>
    <row r="50" spans="1:5" x14ac:dyDescent="0.2">
      <c r="A50" s="306"/>
      <c r="B50" s="280" t="s">
        <v>3</v>
      </c>
      <c r="C50" s="280"/>
      <c r="D50" s="280"/>
      <c r="E50" s="92"/>
    </row>
    <row r="51" spans="1:5" x14ac:dyDescent="0.2">
      <c r="A51" s="306"/>
      <c r="B51" s="280" t="s">
        <v>4</v>
      </c>
      <c r="C51" s="280" t="s">
        <v>5</v>
      </c>
      <c r="D51" s="79" t="s">
        <v>6</v>
      </c>
      <c r="E51" s="92" t="s">
        <v>603</v>
      </c>
    </row>
    <row r="52" spans="1:5" x14ac:dyDescent="0.2">
      <c r="A52" s="306"/>
      <c r="B52" s="280"/>
      <c r="C52" s="281"/>
      <c r="D52" s="79" t="s">
        <v>7</v>
      </c>
      <c r="E52" s="92"/>
    </row>
    <row r="53" spans="1:5" x14ac:dyDescent="0.2">
      <c r="A53" s="306"/>
      <c r="B53" s="280"/>
      <c r="C53" s="281"/>
      <c r="D53" s="79" t="s">
        <v>8</v>
      </c>
      <c r="E53" s="92"/>
    </row>
    <row r="54" spans="1:5" x14ac:dyDescent="0.2">
      <c r="A54" s="306"/>
      <c r="B54" s="280" t="s">
        <v>9</v>
      </c>
      <c r="C54" s="280" t="s">
        <v>10</v>
      </c>
      <c r="D54" s="280"/>
      <c r="E54" s="92"/>
    </row>
    <row r="55" spans="1:5" ht="13.5" thickBot="1" x14ac:dyDescent="0.25">
      <c r="A55" s="307"/>
      <c r="B55" s="319"/>
      <c r="C55" s="302" t="s">
        <v>11</v>
      </c>
      <c r="D55" s="302"/>
      <c r="E55" s="94" t="s">
        <v>202</v>
      </c>
    </row>
    <row r="56" spans="1:5" ht="13.5" thickBot="1" x14ac:dyDescent="0.25"/>
    <row r="57" spans="1:5" x14ac:dyDescent="0.2">
      <c r="A57" s="305" t="s">
        <v>415</v>
      </c>
      <c r="B57" s="304" t="s">
        <v>0</v>
      </c>
      <c r="C57" s="304"/>
      <c r="D57" s="304"/>
      <c r="E57" s="50" t="s">
        <v>196</v>
      </c>
    </row>
    <row r="58" spans="1:5" x14ac:dyDescent="0.2">
      <c r="A58" s="306"/>
      <c r="B58" s="280" t="s">
        <v>2</v>
      </c>
      <c r="C58" s="280"/>
      <c r="D58" s="280"/>
      <c r="E58" s="92"/>
    </row>
    <row r="59" spans="1:5" x14ac:dyDescent="0.2">
      <c r="A59" s="306"/>
      <c r="B59" s="280" t="s">
        <v>3</v>
      </c>
      <c r="C59" s="280"/>
      <c r="D59" s="280"/>
      <c r="E59" s="92"/>
    </row>
    <row r="60" spans="1:5" x14ac:dyDescent="0.2">
      <c r="A60" s="306"/>
      <c r="B60" s="280" t="s">
        <v>4</v>
      </c>
      <c r="C60" s="280" t="s">
        <v>5</v>
      </c>
      <c r="D60" s="79" t="s">
        <v>6</v>
      </c>
      <c r="E60" s="92" t="s">
        <v>604</v>
      </c>
    </row>
    <row r="61" spans="1:5" x14ac:dyDescent="0.2">
      <c r="A61" s="306"/>
      <c r="B61" s="280"/>
      <c r="C61" s="281"/>
      <c r="D61" s="79" t="s">
        <v>7</v>
      </c>
      <c r="E61" s="92"/>
    </row>
    <row r="62" spans="1:5" x14ac:dyDescent="0.2">
      <c r="A62" s="306"/>
      <c r="B62" s="280"/>
      <c r="C62" s="281"/>
      <c r="D62" s="79" t="s">
        <v>8</v>
      </c>
      <c r="E62" s="92"/>
    </row>
    <row r="63" spans="1:5" x14ac:dyDescent="0.2">
      <c r="A63" s="306"/>
      <c r="B63" s="280" t="s">
        <v>9</v>
      </c>
      <c r="C63" s="280" t="s">
        <v>10</v>
      </c>
      <c r="D63" s="280"/>
      <c r="E63" s="92"/>
    </row>
    <row r="64" spans="1:5" ht="13.5" thickBot="1" x14ac:dyDescent="0.25">
      <c r="A64" s="307"/>
      <c r="B64" s="319"/>
      <c r="C64" s="302" t="s">
        <v>11</v>
      </c>
      <c r="D64" s="302"/>
      <c r="E64" s="94"/>
    </row>
    <row r="65" spans="1:10" s="37" customFormat="1" ht="13.5" thickBot="1" x14ac:dyDescent="0.25">
      <c r="A65" s="96"/>
      <c r="B65" s="95"/>
      <c r="C65" s="80"/>
      <c r="D65" s="81"/>
      <c r="E65" s="91"/>
      <c r="F65" s="81"/>
      <c r="G65" s="81"/>
      <c r="H65" s="81"/>
      <c r="I65" s="81"/>
      <c r="J65" s="81"/>
    </row>
    <row r="66" spans="1:10" s="37" customFormat="1" x14ac:dyDescent="0.2">
      <c r="A66" s="305" t="s">
        <v>416</v>
      </c>
      <c r="B66" s="304" t="s">
        <v>0</v>
      </c>
      <c r="C66" s="304"/>
      <c r="D66" s="304"/>
      <c r="E66" s="50" t="s">
        <v>196</v>
      </c>
      <c r="F66" s="81"/>
      <c r="G66" s="81"/>
      <c r="H66" s="81"/>
      <c r="I66" s="81"/>
      <c r="J66" s="81"/>
    </row>
    <row r="67" spans="1:10" s="37" customFormat="1" x14ac:dyDescent="0.2">
      <c r="A67" s="306"/>
      <c r="B67" s="280" t="s">
        <v>2</v>
      </c>
      <c r="C67" s="280"/>
      <c r="D67" s="280"/>
      <c r="E67" s="92"/>
      <c r="F67" s="81"/>
      <c r="G67" s="81"/>
      <c r="H67" s="81"/>
      <c r="I67" s="81"/>
      <c r="J67" s="81"/>
    </row>
    <row r="68" spans="1:10" s="37" customFormat="1" x14ac:dyDescent="0.2">
      <c r="A68" s="306"/>
      <c r="B68" s="280" t="s">
        <v>3</v>
      </c>
      <c r="C68" s="280"/>
      <c r="D68" s="280"/>
      <c r="E68" s="92"/>
      <c r="F68" s="81"/>
      <c r="G68" s="81"/>
      <c r="H68" s="81"/>
      <c r="I68" s="81"/>
      <c r="J68" s="81"/>
    </row>
    <row r="69" spans="1:10" s="37" customFormat="1" x14ac:dyDescent="0.2">
      <c r="A69" s="306"/>
      <c r="B69" s="280" t="s">
        <v>4</v>
      </c>
      <c r="C69" s="280" t="s">
        <v>5</v>
      </c>
      <c r="D69" s="79" t="s">
        <v>6</v>
      </c>
      <c r="E69" s="92" t="s">
        <v>605</v>
      </c>
      <c r="F69" s="81"/>
      <c r="G69" s="81"/>
      <c r="H69" s="81"/>
      <c r="I69" s="81"/>
      <c r="J69" s="81"/>
    </row>
    <row r="70" spans="1:10" s="37" customFormat="1" x14ac:dyDescent="0.2">
      <c r="A70" s="306"/>
      <c r="B70" s="280"/>
      <c r="C70" s="281"/>
      <c r="D70" s="79" t="s">
        <v>7</v>
      </c>
      <c r="E70" s="92">
        <v>7720</v>
      </c>
      <c r="F70" s="81"/>
      <c r="G70" s="81"/>
      <c r="H70" s="81"/>
      <c r="I70" s="81"/>
      <c r="J70" s="81"/>
    </row>
    <row r="71" spans="1:10" s="37" customFormat="1" x14ac:dyDescent="0.2">
      <c r="A71" s="306"/>
      <c r="B71" s="280"/>
      <c r="C71" s="281"/>
      <c r="D71" s="79" t="s">
        <v>8</v>
      </c>
      <c r="E71" s="92" t="s">
        <v>633</v>
      </c>
      <c r="F71" s="81"/>
      <c r="G71" s="81"/>
      <c r="H71" s="81"/>
      <c r="I71" s="81"/>
      <c r="J71" s="81"/>
    </row>
    <row r="72" spans="1:10" s="37" customFormat="1" x14ac:dyDescent="0.2">
      <c r="A72" s="306"/>
      <c r="B72" s="280" t="s">
        <v>9</v>
      </c>
      <c r="C72" s="280" t="s">
        <v>10</v>
      </c>
      <c r="D72" s="280"/>
      <c r="E72" s="92"/>
      <c r="F72" s="81"/>
      <c r="G72" s="81"/>
      <c r="H72" s="81"/>
      <c r="I72" s="81"/>
      <c r="J72" s="81"/>
    </row>
    <row r="73" spans="1:10" s="37" customFormat="1" ht="13.5" thickBot="1" x14ac:dyDescent="0.25">
      <c r="A73" s="307"/>
      <c r="B73" s="319"/>
      <c r="C73" s="302" t="s">
        <v>11</v>
      </c>
      <c r="D73" s="302"/>
      <c r="E73" s="94"/>
      <c r="F73" s="81"/>
      <c r="G73" s="81"/>
      <c r="H73" s="81"/>
      <c r="I73" s="81"/>
      <c r="J73" s="81"/>
    </row>
    <row r="74" spans="1:10" ht="13.5" thickBot="1" x14ac:dyDescent="0.25"/>
    <row r="75" spans="1:10" x14ac:dyDescent="0.2">
      <c r="A75" s="305" t="s">
        <v>200</v>
      </c>
      <c r="B75" s="304" t="s">
        <v>0</v>
      </c>
      <c r="C75" s="304"/>
      <c r="D75" s="304"/>
      <c r="E75" s="50" t="s">
        <v>201</v>
      </c>
    </row>
    <row r="76" spans="1:10" x14ac:dyDescent="0.2">
      <c r="A76" s="306"/>
      <c r="B76" s="280" t="s">
        <v>2</v>
      </c>
      <c r="C76" s="280"/>
      <c r="D76" s="280"/>
      <c r="E76" s="92"/>
    </row>
    <row r="77" spans="1:10" x14ac:dyDescent="0.2">
      <c r="A77" s="306"/>
      <c r="B77" s="280" t="s">
        <v>3</v>
      </c>
      <c r="C77" s="280"/>
      <c r="D77" s="280"/>
      <c r="E77" s="92"/>
    </row>
    <row r="78" spans="1:10" x14ac:dyDescent="0.2">
      <c r="A78" s="306"/>
      <c r="B78" s="280" t="s">
        <v>4</v>
      </c>
      <c r="C78" s="280" t="s">
        <v>5</v>
      </c>
      <c r="D78" s="79" t="s">
        <v>6</v>
      </c>
      <c r="E78" s="92" t="s">
        <v>606</v>
      </c>
    </row>
    <row r="79" spans="1:10" x14ac:dyDescent="0.2">
      <c r="A79" s="306"/>
      <c r="B79" s="280"/>
      <c r="C79" s="281"/>
      <c r="D79" s="79" t="s">
        <v>7</v>
      </c>
      <c r="E79" s="92"/>
    </row>
    <row r="80" spans="1:10" x14ac:dyDescent="0.2">
      <c r="A80" s="306"/>
      <c r="B80" s="280"/>
      <c r="C80" s="281"/>
      <c r="D80" s="79" t="s">
        <v>8</v>
      </c>
      <c r="E80" s="92"/>
    </row>
    <row r="81" spans="1:10" x14ac:dyDescent="0.2">
      <c r="A81" s="306"/>
      <c r="B81" s="280" t="s">
        <v>9</v>
      </c>
      <c r="C81" s="280" t="s">
        <v>10</v>
      </c>
      <c r="D81" s="280"/>
      <c r="E81" s="92" t="s">
        <v>202</v>
      </c>
    </row>
    <row r="82" spans="1:10" ht="13.5" thickBot="1" x14ac:dyDescent="0.25">
      <c r="A82" s="307"/>
      <c r="B82" s="319"/>
      <c r="C82" s="302" t="s">
        <v>11</v>
      </c>
      <c r="D82" s="302"/>
      <c r="E82" s="94"/>
    </row>
    <row r="83" spans="1:10" s="11" customFormat="1" ht="13.5" thickBot="1" x14ac:dyDescent="0.25">
      <c r="A83" s="81"/>
      <c r="B83" s="81"/>
      <c r="C83" s="81"/>
      <c r="D83" s="81"/>
      <c r="E83" s="91"/>
      <c r="F83" s="81"/>
      <c r="G83" s="81"/>
      <c r="H83" s="81"/>
      <c r="I83" s="81"/>
      <c r="J83" s="81"/>
    </row>
    <row r="84" spans="1:10" x14ac:dyDescent="0.2">
      <c r="A84" s="305" t="s">
        <v>199</v>
      </c>
      <c r="B84" s="304" t="s">
        <v>0</v>
      </c>
      <c r="C84" s="304"/>
      <c r="D84" s="304"/>
      <c r="E84" s="50" t="s">
        <v>201</v>
      </c>
    </row>
    <row r="85" spans="1:10" x14ac:dyDescent="0.2">
      <c r="A85" s="306"/>
      <c r="B85" s="280" t="s">
        <v>2</v>
      </c>
      <c r="C85" s="280"/>
      <c r="D85" s="280"/>
      <c r="E85" s="92"/>
    </row>
    <row r="86" spans="1:10" x14ac:dyDescent="0.2">
      <c r="A86" s="306"/>
      <c r="B86" s="280" t="s">
        <v>3</v>
      </c>
      <c r="C86" s="280"/>
      <c r="D86" s="280"/>
      <c r="E86" s="92"/>
    </row>
    <row r="87" spans="1:10" x14ac:dyDescent="0.2">
      <c r="A87" s="306"/>
      <c r="B87" s="280" t="s">
        <v>4</v>
      </c>
      <c r="C87" s="280" t="s">
        <v>5</v>
      </c>
      <c r="D87" s="79" t="s">
        <v>6</v>
      </c>
      <c r="E87" s="92" t="s">
        <v>606</v>
      </c>
    </row>
    <row r="88" spans="1:10" x14ac:dyDescent="0.2">
      <c r="A88" s="306"/>
      <c r="B88" s="280"/>
      <c r="C88" s="281"/>
      <c r="D88" s="79" t="s">
        <v>7</v>
      </c>
      <c r="E88" s="92"/>
    </row>
    <row r="89" spans="1:10" x14ac:dyDescent="0.2">
      <c r="A89" s="306"/>
      <c r="B89" s="280"/>
      <c r="C89" s="281"/>
      <c r="D89" s="79" t="s">
        <v>8</v>
      </c>
      <c r="E89" s="92"/>
    </row>
    <row r="90" spans="1:10" x14ac:dyDescent="0.2">
      <c r="A90" s="306"/>
      <c r="B90" s="280" t="s">
        <v>9</v>
      </c>
      <c r="C90" s="280" t="s">
        <v>10</v>
      </c>
      <c r="D90" s="280"/>
      <c r="E90" s="92" t="s">
        <v>202</v>
      </c>
    </row>
    <row r="91" spans="1:10" ht="13.5" thickBot="1" x14ac:dyDescent="0.25">
      <c r="A91" s="307"/>
      <c r="B91" s="319"/>
      <c r="C91" s="302" t="s">
        <v>11</v>
      </c>
      <c r="D91" s="302"/>
      <c r="E91" s="94"/>
    </row>
    <row r="92" spans="1:10" ht="13.5" thickBot="1" x14ac:dyDescent="0.25"/>
    <row r="93" spans="1:10" x14ac:dyDescent="0.2">
      <c r="A93" s="305" t="s">
        <v>197</v>
      </c>
      <c r="B93" s="304" t="s">
        <v>0</v>
      </c>
      <c r="C93" s="304"/>
      <c r="D93" s="304"/>
      <c r="E93" s="50" t="s">
        <v>198</v>
      </c>
    </row>
    <row r="94" spans="1:10" x14ac:dyDescent="0.2">
      <c r="A94" s="306"/>
      <c r="B94" s="280" t="s">
        <v>2</v>
      </c>
      <c r="C94" s="280"/>
      <c r="D94" s="280"/>
      <c r="E94" s="92"/>
    </row>
    <row r="95" spans="1:10" x14ac:dyDescent="0.2">
      <c r="A95" s="306"/>
      <c r="B95" s="280" t="s">
        <v>3</v>
      </c>
      <c r="C95" s="280"/>
      <c r="D95" s="280"/>
      <c r="E95" s="92"/>
    </row>
    <row r="96" spans="1:10" x14ac:dyDescent="0.2">
      <c r="A96" s="306"/>
      <c r="B96" s="280" t="s">
        <v>4</v>
      </c>
      <c r="C96" s="280" t="s">
        <v>5</v>
      </c>
      <c r="D96" s="79" t="s">
        <v>6</v>
      </c>
      <c r="E96" s="92" t="s">
        <v>607</v>
      </c>
    </row>
    <row r="97" spans="1:10" x14ac:dyDescent="0.2">
      <c r="A97" s="306"/>
      <c r="B97" s="280"/>
      <c r="C97" s="281"/>
      <c r="D97" s="79" t="s">
        <v>7</v>
      </c>
      <c r="E97" s="92"/>
    </row>
    <row r="98" spans="1:10" x14ac:dyDescent="0.2">
      <c r="A98" s="306"/>
      <c r="B98" s="280"/>
      <c r="C98" s="281"/>
      <c r="D98" s="79" t="s">
        <v>8</v>
      </c>
      <c r="E98" s="92"/>
    </row>
    <row r="99" spans="1:10" x14ac:dyDescent="0.2">
      <c r="A99" s="306"/>
      <c r="B99" s="280" t="s">
        <v>9</v>
      </c>
      <c r="C99" s="280" t="s">
        <v>10</v>
      </c>
      <c r="D99" s="280"/>
      <c r="E99" s="92" t="s">
        <v>202</v>
      </c>
    </row>
    <row r="100" spans="1:10" ht="13.5" thickBot="1" x14ac:dyDescent="0.25">
      <c r="A100" s="307"/>
      <c r="B100" s="319"/>
      <c r="C100" s="302" t="s">
        <v>11</v>
      </c>
      <c r="D100" s="302"/>
      <c r="E100" s="94"/>
    </row>
    <row r="101" spans="1:10" ht="13.5" thickBot="1" x14ac:dyDescent="0.25"/>
    <row r="102" spans="1:10" s="37" customFormat="1" x14ac:dyDescent="0.2">
      <c r="A102" s="305" t="s">
        <v>417</v>
      </c>
      <c r="B102" s="304" t="s">
        <v>0</v>
      </c>
      <c r="C102" s="304"/>
      <c r="D102" s="304"/>
      <c r="E102" s="50" t="s">
        <v>418</v>
      </c>
      <c r="F102" s="81"/>
      <c r="G102" s="81"/>
      <c r="H102" s="81"/>
      <c r="I102" s="81"/>
      <c r="J102" s="81"/>
    </row>
    <row r="103" spans="1:10" s="37" customFormat="1" x14ac:dyDescent="0.2">
      <c r="A103" s="306"/>
      <c r="B103" s="280" t="s">
        <v>2</v>
      </c>
      <c r="C103" s="280"/>
      <c r="D103" s="280"/>
      <c r="E103" s="92"/>
      <c r="F103" s="81"/>
      <c r="G103" s="81"/>
      <c r="H103" s="81"/>
      <c r="I103" s="81"/>
      <c r="J103" s="81"/>
    </row>
    <row r="104" spans="1:10" s="37" customFormat="1" x14ac:dyDescent="0.2">
      <c r="A104" s="306"/>
      <c r="B104" s="280" t="s">
        <v>3</v>
      </c>
      <c r="C104" s="280"/>
      <c r="D104" s="280"/>
      <c r="E104" s="92"/>
      <c r="F104" s="81"/>
      <c r="G104" s="81"/>
      <c r="H104" s="81"/>
      <c r="I104" s="81"/>
      <c r="J104" s="81"/>
    </row>
    <row r="105" spans="1:10" s="37" customFormat="1" x14ac:dyDescent="0.2">
      <c r="A105" s="306"/>
      <c r="B105" s="280" t="s">
        <v>4</v>
      </c>
      <c r="C105" s="280" t="s">
        <v>5</v>
      </c>
      <c r="D105" s="79" t="s">
        <v>6</v>
      </c>
      <c r="E105" s="92"/>
      <c r="F105" s="81"/>
      <c r="G105" s="81"/>
      <c r="H105" s="81"/>
      <c r="I105" s="81"/>
      <c r="J105" s="81"/>
    </row>
    <row r="106" spans="1:10" s="37" customFormat="1" x14ac:dyDescent="0.2">
      <c r="A106" s="306"/>
      <c r="B106" s="280"/>
      <c r="C106" s="281"/>
      <c r="D106" s="79" t="s">
        <v>7</v>
      </c>
      <c r="E106" s="92"/>
      <c r="F106" s="81"/>
      <c r="G106" s="81"/>
      <c r="H106" s="81"/>
      <c r="I106" s="81"/>
      <c r="J106" s="81"/>
    </row>
    <row r="107" spans="1:10" s="37" customFormat="1" x14ac:dyDescent="0.2">
      <c r="A107" s="306"/>
      <c r="B107" s="280"/>
      <c r="C107" s="281"/>
      <c r="D107" s="79" t="s">
        <v>8</v>
      </c>
      <c r="E107" s="92"/>
      <c r="F107" s="81"/>
      <c r="G107" s="81"/>
      <c r="H107" s="81"/>
      <c r="I107" s="81"/>
      <c r="J107" s="81"/>
    </row>
    <row r="108" spans="1:10" s="37" customFormat="1" x14ac:dyDescent="0.2">
      <c r="A108" s="306"/>
      <c r="B108" s="280" t="s">
        <v>9</v>
      </c>
      <c r="C108" s="280" t="s">
        <v>10</v>
      </c>
      <c r="D108" s="280"/>
      <c r="E108" s="92" t="s">
        <v>202</v>
      </c>
      <c r="F108" s="81"/>
      <c r="G108" s="81"/>
      <c r="H108" s="81"/>
      <c r="I108" s="81"/>
      <c r="J108" s="81"/>
    </row>
    <row r="109" spans="1:10" s="37" customFormat="1" ht="13.5" thickBot="1" x14ac:dyDescent="0.25">
      <c r="A109" s="307"/>
      <c r="B109" s="319"/>
      <c r="C109" s="302" t="s">
        <v>11</v>
      </c>
      <c r="D109" s="302"/>
      <c r="E109" s="94"/>
      <c r="F109" s="81"/>
      <c r="G109" s="81"/>
      <c r="H109" s="81"/>
      <c r="I109" s="81"/>
      <c r="J109" s="81"/>
    </row>
    <row r="110" spans="1:10" s="37" customFormat="1" ht="13.5" thickBot="1" x14ac:dyDescent="0.25">
      <c r="A110" s="81"/>
      <c r="B110" s="81"/>
      <c r="C110" s="81"/>
      <c r="D110" s="81"/>
      <c r="E110" s="91"/>
      <c r="F110" s="81"/>
      <c r="G110" s="81"/>
      <c r="H110" s="81"/>
      <c r="I110" s="81"/>
      <c r="J110" s="81"/>
    </row>
    <row r="111" spans="1:10" s="11" customFormat="1" x14ac:dyDescent="0.2">
      <c r="A111" s="322" t="s">
        <v>618</v>
      </c>
      <c r="B111" s="304" t="s">
        <v>0</v>
      </c>
      <c r="C111" s="304"/>
      <c r="D111" s="304"/>
      <c r="E111" s="50" t="s">
        <v>201</v>
      </c>
      <c r="F111" s="81"/>
      <c r="G111" s="81"/>
      <c r="H111" s="81"/>
      <c r="I111" s="81"/>
      <c r="J111" s="81"/>
    </row>
    <row r="112" spans="1:10" s="11" customFormat="1" x14ac:dyDescent="0.2">
      <c r="A112" s="306"/>
      <c r="B112" s="286" t="s">
        <v>2</v>
      </c>
      <c r="C112" s="286"/>
      <c r="D112" s="286"/>
      <c r="E112" s="92"/>
      <c r="F112" s="81"/>
      <c r="G112" s="81"/>
      <c r="H112" s="81"/>
      <c r="I112" s="81"/>
      <c r="J112" s="81"/>
    </row>
    <row r="113" spans="1:10" s="11" customFormat="1" x14ac:dyDescent="0.2">
      <c r="A113" s="306"/>
      <c r="B113" s="286" t="s">
        <v>3</v>
      </c>
      <c r="C113" s="286"/>
      <c r="D113" s="286"/>
      <c r="E113" s="92"/>
      <c r="F113" s="81"/>
      <c r="G113" s="81"/>
      <c r="H113" s="81"/>
      <c r="I113" s="81"/>
      <c r="J113" s="81"/>
    </row>
    <row r="114" spans="1:10" s="11" customFormat="1" x14ac:dyDescent="0.2">
      <c r="A114" s="306"/>
      <c r="B114" s="286" t="s">
        <v>4</v>
      </c>
      <c r="C114" s="286" t="s">
        <v>5</v>
      </c>
      <c r="D114" s="97" t="s">
        <v>6</v>
      </c>
      <c r="E114" s="92"/>
      <c r="F114" s="81"/>
      <c r="G114" s="81"/>
      <c r="H114" s="81"/>
      <c r="I114" s="81"/>
      <c r="J114" s="81"/>
    </row>
    <row r="115" spans="1:10" s="11" customFormat="1" x14ac:dyDescent="0.2">
      <c r="A115" s="306"/>
      <c r="B115" s="286"/>
      <c r="C115" s="287"/>
      <c r="D115" s="97" t="s">
        <v>7</v>
      </c>
      <c r="E115" s="92"/>
      <c r="F115" s="81"/>
      <c r="G115" s="81"/>
      <c r="H115" s="81"/>
      <c r="I115" s="81"/>
      <c r="J115" s="81"/>
    </row>
    <row r="116" spans="1:10" s="11" customFormat="1" x14ac:dyDescent="0.2">
      <c r="A116" s="306"/>
      <c r="B116" s="286"/>
      <c r="C116" s="287"/>
      <c r="D116" s="97" t="s">
        <v>8</v>
      </c>
      <c r="E116" s="92"/>
      <c r="F116" s="81"/>
      <c r="G116" s="81"/>
      <c r="H116" s="81"/>
      <c r="I116" s="81"/>
      <c r="J116" s="81"/>
    </row>
    <row r="117" spans="1:10" s="11" customFormat="1" x14ac:dyDescent="0.2">
      <c r="A117" s="306"/>
      <c r="B117" s="286" t="s">
        <v>9</v>
      </c>
      <c r="C117" s="286" t="s">
        <v>10</v>
      </c>
      <c r="D117" s="286"/>
      <c r="E117" s="92"/>
      <c r="F117" s="81"/>
      <c r="G117" s="81"/>
      <c r="H117" s="81"/>
      <c r="I117" s="81"/>
      <c r="J117" s="81"/>
    </row>
    <row r="118" spans="1:10" s="11" customFormat="1" ht="13.5" thickBot="1" x14ac:dyDescent="0.25">
      <c r="A118" s="307"/>
      <c r="B118" s="320"/>
      <c r="C118" s="321" t="s">
        <v>11</v>
      </c>
      <c r="D118" s="321"/>
      <c r="E118" s="94"/>
      <c r="F118" s="81"/>
      <c r="G118" s="81"/>
      <c r="H118" s="81"/>
      <c r="I118" s="81"/>
      <c r="J118" s="81"/>
    </row>
    <row r="119" spans="1:10" s="11" customFormat="1" ht="13.5" thickBot="1" x14ac:dyDescent="0.25">
      <c r="A119" s="81"/>
      <c r="B119" s="81"/>
      <c r="C119" s="81"/>
      <c r="D119" s="81"/>
      <c r="E119" s="91"/>
      <c r="F119" s="81"/>
      <c r="G119" s="81"/>
      <c r="H119" s="81"/>
      <c r="I119" s="81"/>
      <c r="J119" s="81"/>
    </row>
    <row r="120" spans="1:10" s="11" customFormat="1" x14ac:dyDescent="0.2">
      <c r="A120" s="322" t="s">
        <v>619</v>
      </c>
      <c r="B120" s="304" t="s">
        <v>0</v>
      </c>
      <c r="C120" s="304"/>
      <c r="D120" s="304"/>
      <c r="E120" s="50" t="s">
        <v>201</v>
      </c>
      <c r="F120" s="81"/>
      <c r="G120" s="81"/>
      <c r="H120" s="81"/>
      <c r="I120" s="81"/>
      <c r="J120" s="81"/>
    </row>
    <row r="121" spans="1:10" s="11" customFormat="1" x14ac:dyDescent="0.2">
      <c r="A121" s="306"/>
      <c r="B121" s="286" t="s">
        <v>2</v>
      </c>
      <c r="C121" s="286"/>
      <c r="D121" s="286"/>
      <c r="E121" s="92"/>
      <c r="F121" s="81"/>
      <c r="G121" s="81"/>
      <c r="H121" s="81"/>
      <c r="I121" s="81"/>
      <c r="J121" s="81"/>
    </row>
    <row r="122" spans="1:10" s="11" customFormat="1" x14ac:dyDescent="0.2">
      <c r="A122" s="306"/>
      <c r="B122" s="286" t="s">
        <v>3</v>
      </c>
      <c r="C122" s="286"/>
      <c r="D122" s="286"/>
      <c r="E122" s="92"/>
      <c r="F122" s="81"/>
      <c r="G122" s="81"/>
      <c r="H122" s="81"/>
      <c r="I122" s="81"/>
      <c r="J122" s="81"/>
    </row>
    <row r="123" spans="1:10" s="11" customFormat="1" x14ac:dyDescent="0.2">
      <c r="A123" s="306"/>
      <c r="B123" s="286" t="s">
        <v>4</v>
      </c>
      <c r="C123" s="286" t="s">
        <v>5</v>
      </c>
      <c r="D123" s="97" t="s">
        <v>6</v>
      </c>
      <c r="E123" s="92"/>
      <c r="F123" s="81"/>
      <c r="G123" s="81"/>
      <c r="H123" s="81"/>
      <c r="I123" s="81"/>
      <c r="J123" s="81"/>
    </row>
    <row r="124" spans="1:10" s="11" customFormat="1" x14ac:dyDescent="0.2">
      <c r="A124" s="306"/>
      <c r="B124" s="286"/>
      <c r="C124" s="287"/>
      <c r="D124" s="97" t="s">
        <v>7</v>
      </c>
      <c r="E124" s="92"/>
      <c r="F124" s="81"/>
      <c r="G124" s="81"/>
      <c r="H124" s="81"/>
      <c r="I124" s="81"/>
      <c r="J124" s="81"/>
    </row>
    <row r="125" spans="1:10" s="11" customFormat="1" x14ac:dyDescent="0.2">
      <c r="A125" s="306"/>
      <c r="B125" s="286"/>
      <c r="C125" s="287"/>
      <c r="D125" s="97" t="s">
        <v>8</v>
      </c>
      <c r="E125" s="92"/>
      <c r="F125" s="81"/>
      <c r="G125" s="81"/>
      <c r="H125" s="81"/>
      <c r="I125" s="81"/>
      <c r="J125" s="81"/>
    </row>
    <row r="126" spans="1:10" s="11" customFormat="1" x14ac:dyDescent="0.2">
      <c r="A126" s="306"/>
      <c r="B126" s="286" t="s">
        <v>9</v>
      </c>
      <c r="C126" s="286" t="s">
        <v>10</v>
      </c>
      <c r="D126" s="286"/>
      <c r="E126" s="92"/>
      <c r="F126" s="81"/>
      <c r="G126" s="81"/>
      <c r="H126" s="81"/>
      <c r="I126" s="81"/>
      <c r="J126" s="81"/>
    </row>
    <row r="127" spans="1:10" s="11" customFormat="1" ht="13.5" thickBot="1" x14ac:dyDescent="0.25">
      <c r="A127" s="307"/>
      <c r="B127" s="320"/>
      <c r="C127" s="321" t="s">
        <v>11</v>
      </c>
      <c r="D127" s="321"/>
      <c r="E127" s="94"/>
      <c r="F127" s="81"/>
      <c r="G127" s="81"/>
      <c r="H127" s="81"/>
      <c r="I127" s="81"/>
      <c r="J127" s="81"/>
    </row>
    <row r="128" spans="1:10" s="11" customFormat="1" ht="13.5" thickBot="1" x14ac:dyDescent="0.25">
      <c r="A128" s="96"/>
      <c r="B128" s="95"/>
      <c r="C128" s="96"/>
      <c r="D128" s="96"/>
      <c r="E128" s="96"/>
      <c r="F128" s="81"/>
      <c r="G128" s="81"/>
      <c r="H128" s="81"/>
      <c r="I128" s="81"/>
      <c r="J128" s="81"/>
    </row>
    <row r="129" spans="1:10" s="11" customFormat="1" x14ac:dyDescent="0.2">
      <c r="A129" s="305" t="s">
        <v>410</v>
      </c>
      <c r="B129" s="304" t="s">
        <v>0</v>
      </c>
      <c r="C129" s="304"/>
      <c r="D129" s="304"/>
      <c r="E129" s="50" t="s">
        <v>201</v>
      </c>
      <c r="F129" s="81"/>
      <c r="G129" s="81"/>
      <c r="H129" s="81"/>
      <c r="I129" s="81"/>
      <c r="J129" s="81"/>
    </row>
    <row r="130" spans="1:10" s="11" customFormat="1" x14ac:dyDescent="0.2">
      <c r="A130" s="306"/>
      <c r="B130" s="280" t="s">
        <v>2</v>
      </c>
      <c r="C130" s="280"/>
      <c r="D130" s="280"/>
      <c r="E130" s="92"/>
      <c r="F130" s="81"/>
      <c r="G130" s="81"/>
      <c r="H130" s="81"/>
      <c r="I130" s="81"/>
      <c r="J130" s="81"/>
    </row>
    <row r="131" spans="1:10" s="11" customFormat="1" x14ac:dyDescent="0.2">
      <c r="A131" s="306"/>
      <c r="B131" s="280" t="s">
        <v>3</v>
      </c>
      <c r="C131" s="280"/>
      <c r="D131" s="280"/>
      <c r="E131" s="92"/>
      <c r="F131" s="81"/>
      <c r="G131" s="81"/>
      <c r="H131" s="81"/>
      <c r="I131" s="81"/>
      <c r="J131" s="81"/>
    </row>
    <row r="132" spans="1:10" s="11" customFormat="1" x14ac:dyDescent="0.2">
      <c r="A132" s="306"/>
      <c r="B132" s="280" t="s">
        <v>4</v>
      </c>
      <c r="C132" s="280" t="s">
        <v>5</v>
      </c>
      <c r="D132" s="79" t="s">
        <v>6</v>
      </c>
      <c r="E132" s="223" t="s">
        <v>585</v>
      </c>
      <c r="F132" s="81"/>
      <c r="G132" s="81"/>
      <c r="H132" s="81"/>
      <c r="I132" s="81"/>
      <c r="J132" s="81"/>
    </row>
    <row r="133" spans="1:10" s="11" customFormat="1" x14ac:dyDescent="0.2">
      <c r="A133" s="306"/>
      <c r="B133" s="280"/>
      <c r="C133" s="281"/>
      <c r="D133" s="79" t="s">
        <v>7</v>
      </c>
      <c r="E133" s="223" t="s">
        <v>585</v>
      </c>
      <c r="F133" s="81"/>
      <c r="G133" s="81"/>
      <c r="H133" s="81"/>
      <c r="I133" s="81"/>
      <c r="J133" s="81"/>
    </row>
    <row r="134" spans="1:10" s="11" customFormat="1" x14ac:dyDescent="0.2">
      <c r="A134" s="306"/>
      <c r="B134" s="280"/>
      <c r="C134" s="281"/>
      <c r="D134" s="79" t="s">
        <v>8</v>
      </c>
      <c r="E134" s="223" t="s">
        <v>585</v>
      </c>
      <c r="F134" s="81"/>
      <c r="G134" s="81"/>
      <c r="H134" s="81"/>
      <c r="I134" s="81"/>
      <c r="J134" s="81"/>
    </row>
    <row r="135" spans="1:10" s="222" customFormat="1" x14ac:dyDescent="0.2">
      <c r="A135" s="306"/>
      <c r="B135" s="280" t="s">
        <v>4</v>
      </c>
      <c r="C135" s="280" t="s">
        <v>928</v>
      </c>
      <c r="D135" s="220" t="s">
        <v>929</v>
      </c>
      <c r="E135" s="92" t="s">
        <v>932</v>
      </c>
      <c r="F135" s="221"/>
      <c r="G135" s="221"/>
      <c r="H135" s="221"/>
      <c r="I135" s="221"/>
      <c r="J135" s="221"/>
    </row>
    <row r="136" spans="1:10" s="222" customFormat="1" x14ac:dyDescent="0.2">
      <c r="A136" s="306"/>
      <c r="B136" s="280"/>
      <c r="C136" s="281"/>
      <c r="D136" s="220" t="s">
        <v>930</v>
      </c>
      <c r="E136" s="92">
        <v>19200</v>
      </c>
      <c r="F136" s="221"/>
      <c r="G136" s="221"/>
      <c r="H136" s="221"/>
      <c r="I136" s="221"/>
      <c r="J136" s="221"/>
    </row>
    <row r="137" spans="1:10" s="222" customFormat="1" x14ac:dyDescent="0.2">
      <c r="A137" s="306"/>
      <c r="B137" s="280"/>
      <c r="C137" s="281"/>
      <c r="D137" s="220" t="s">
        <v>931</v>
      </c>
      <c r="E137" s="92" t="s">
        <v>202</v>
      </c>
      <c r="F137" s="221"/>
      <c r="G137" s="221"/>
      <c r="H137" s="221"/>
      <c r="I137" s="221"/>
      <c r="J137" s="221"/>
    </row>
    <row r="138" spans="1:10" s="11" customFormat="1" x14ac:dyDescent="0.2">
      <c r="A138" s="306"/>
      <c r="B138" s="220" t="s">
        <v>9</v>
      </c>
      <c r="C138" s="280" t="s">
        <v>10</v>
      </c>
      <c r="D138" s="280"/>
      <c r="E138" s="92" t="s">
        <v>202</v>
      </c>
      <c r="F138" s="81"/>
      <c r="G138" s="81"/>
      <c r="H138" s="81"/>
      <c r="I138" s="81"/>
      <c r="J138" s="81"/>
    </row>
    <row r="139" spans="1:10" s="11" customFormat="1" x14ac:dyDescent="0.2">
      <c r="A139" s="81"/>
      <c r="B139" s="81"/>
      <c r="C139" s="81"/>
      <c r="D139" s="81"/>
      <c r="E139" s="91"/>
      <c r="F139" s="81"/>
      <c r="G139" s="81"/>
      <c r="H139" s="81"/>
      <c r="I139" s="81"/>
      <c r="J139" s="81"/>
    </row>
    <row r="141" spans="1:10" x14ac:dyDescent="0.2">
      <c r="A141" s="81" t="s">
        <v>608</v>
      </c>
      <c r="E141" s="91" t="s">
        <v>611</v>
      </c>
    </row>
    <row r="142" spans="1:10" x14ac:dyDescent="0.2">
      <c r="A142" s="81" t="s">
        <v>610</v>
      </c>
      <c r="E142" s="91" t="s">
        <v>609</v>
      </c>
    </row>
  </sheetData>
  <mergeCells count="135">
    <mergeCell ref="B49:D49"/>
    <mergeCell ref="B50:D50"/>
    <mergeCell ref="B93:D93"/>
    <mergeCell ref="B94:D94"/>
    <mergeCell ref="B95:D95"/>
    <mergeCell ref="C99:D99"/>
    <mergeCell ref="C100:D100"/>
    <mergeCell ref="C63:D63"/>
    <mergeCell ref="C64:D64"/>
    <mergeCell ref="C54:D54"/>
    <mergeCell ref="C55:D55"/>
    <mergeCell ref="B58:D58"/>
    <mergeCell ref="B59:D59"/>
    <mergeCell ref="B78:B80"/>
    <mergeCell ref="C78:C80"/>
    <mergeCell ref="B87:B89"/>
    <mergeCell ref="C87:C89"/>
    <mergeCell ref="B90:B91"/>
    <mergeCell ref="B75:D75"/>
    <mergeCell ref="B76:D76"/>
    <mergeCell ref="B77:D77"/>
    <mergeCell ref="C81:D81"/>
    <mergeCell ref="C82:D82"/>
    <mergeCell ref="B81:B82"/>
    <mergeCell ref="A3:A10"/>
    <mergeCell ref="B6:B8"/>
    <mergeCell ref="A30:A37"/>
    <mergeCell ref="B33:B35"/>
    <mergeCell ref="C33:C35"/>
    <mergeCell ref="B36:B37"/>
    <mergeCell ref="B3:D3"/>
    <mergeCell ref="B4:D4"/>
    <mergeCell ref="B5:D5"/>
    <mergeCell ref="B30:D30"/>
    <mergeCell ref="B31:D31"/>
    <mergeCell ref="B32:D32"/>
    <mergeCell ref="C36:D36"/>
    <mergeCell ref="C37:D37"/>
    <mergeCell ref="C9:D9"/>
    <mergeCell ref="C10:D10"/>
    <mergeCell ref="C6:C8"/>
    <mergeCell ref="B9:B10"/>
    <mergeCell ref="A21:A28"/>
    <mergeCell ref="B21:D21"/>
    <mergeCell ref="A12:A19"/>
    <mergeCell ref="B12:D12"/>
    <mergeCell ref="B13:D13"/>
    <mergeCell ref="B14:D14"/>
    <mergeCell ref="B15:B17"/>
    <mergeCell ref="C15:C17"/>
    <mergeCell ref="B18:B19"/>
    <mergeCell ref="C18:D18"/>
    <mergeCell ref="C19:D19"/>
    <mergeCell ref="A39:A46"/>
    <mergeCell ref="B42:B44"/>
    <mergeCell ref="C42:C44"/>
    <mergeCell ref="B45:B46"/>
    <mergeCell ref="B39:D39"/>
    <mergeCell ref="B40:D40"/>
    <mergeCell ref="B41:D41"/>
    <mergeCell ref="C45:D45"/>
    <mergeCell ref="C46:D46"/>
    <mergeCell ref="B22:D22"/>
    <mergeCell ref="B23:D23"/>
    <mergeCell ref="B24:B26"/>
    <mergeCell ref="C24:C26"/>
    <mergeCell ref="B27:B28"/>
    <mergeCell ref="C27:D27"/>
    <mergeCell ref="C28:D28"/>
    <mergeCell ref="B48:D48"/>
    <mergeCell ref="A129:A138"/>
    <mergeCell ref="B129:D129"/>
    <mergeCell ref="B130:D130"/>
    <mergeCell ref="B131:D131"/>
    <mergeCell ref="B132:B134"/>
    <mergeCell ref="C132:C134"/>
    <mergeCell ref="C138:D138"/>
    <mergeCell ref="A111:A118"/>
    <mergeCell ref="B111:D111"/>
    <mergeCell ref="B112:D112"/>
    <mergeCell ref="B113:D113"/>
    <mergeCell ref="B114:B116"/>
    <mergeCell ref="C114:C116"/>
    <mergeCell ref="B117:B118"/>
    <mergeCell ref="C117:D117"/>
    <mergeCell ref="C118:D118"/>
    <mergeCell ref="A120:A127"/>
    <mergeCell ref="B120:D120"/>
    <mergeCell ref="A93:A100"/>
    <mergeCell ref="B96:B98"/>
    <mergeCell ref="C96:C98"/>
    <mergeCell ref="B57:D57"/>
    <mergeCell ref="B99:B100"/>
    <mergeCell ref="A102:A109"/>
    <mergeCell ref="B102:D102"/>
    <mergeCell ref="B103:D103"/>
    <mergeCell ref="B104:D104"/>
    <mergeCell ref="B105:B107"/>
    <mergeCell ref="C105:C107"/>
    <mergeCell ref="B108:B109"/>
    <mergeCell ref="C108:D108"/>
    <mergeCell ref="B51:B53"/>
    <mergeCell ref="C51:C53"/>
    <mergeCell ref="B54:B55"/>
    <mergeCell ref="A48:A55"/>
    <mergeCell ref="A75:A82"/>
    <mergeCell ref="A84:A91"/>
    <mergeCell ref="B84:D84"/>
    <mergeCell ref="B85:D85"/>
    <mergeCell ref="B86:D86"/>
    <mergeCell ref="C90:D90"/>
    <mergeCell ref="C91:D91"/>
    <mergeCell ref="A57:A64"/>
    <mergeCell ref="B60:B62"/>
    <mergeCell ref="C60:C62"/>
    <mergeCell ref="B63:B64"/>
    <mergeCell ref="A66:A73"/>
    <mergeCell ref="B66:D66"/>
    <mergeCell ref="B67:D67"/>
    <mergeCell ref="B68:D68"/>
    <mergeCell ref="B69:B71"/>
    <mergeCell ref="C69:C71"/>
    <mergeCell ref="B72:B73"/>
    <mergeCell ref="C72:D72"/>
    <mergeCell ref="C73:D73"/>
    <mergeCell ref="B135:B137"/>
    <mergeCell ref="C135:C137"/>
    <mergeCell ref="C109:D109"/>
    <mergeCell ref="B121:D121"/>
    <mergeCell ref="B122:D122"/>
    <mergeCell ref="B123:B125"/>
    <mergeCell ref="C123:C125"/>
    <mergeCell ref="B126:B127"/>
    <mergeCell ref="C126:D126"/>
    <mergeCell ref="C127:D127"/>
  </mergeCells>
  <pageMargins left="0.75" right="0.75" top="1" bottom="1" header="0.5" footer="0.5"/>
  <pageSetup paperSize="9" orientation="portrait"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H35"/>
  <sheetViews>
    <sheetView workbookViewId="0">
      <selection activeCell="K20" sqref="K20"/>
    </sheetView>
  </sheetViews>
  <sheetFormatPr defaultRowHeight="12.75" x14ac:dyDescent="0.2"/>
  <cols>
    <col min="1" max="1" width="22.140625" style="86" customWidth="1"/>
    <col min="2" max="2" width="25.7109375" style="86" bestFit="1" customWidth="1"/>
    <col min="3" max="3" width="24.85546875" style="86" customWidth="1"/>
    <col min="4" max="4" width="23.42578125" style="86" customWidth="1"/>
    <col min="5" max="5" width="14.140625" style="86" customWidth="1"/>
    <col min="6" max="8" width="9.140625" style="86"/>
  </cols>
  <sheetData>
    <row r="4" spans="1:5" ht="13.5" thickBot="1" x14ac:dyDescent="0.25"/>
    <row r="5" spans="1:5" x14ac:dyDescent="0.2">
      <c r="A5" s="305" t="s">
        <v>622</v>
      </c>
      <c r="B5" s="304" t="s">
        <v>623</v>
      </c>
      <c r="C5" s="304" t="s">
        <v>624</v>
      </c>
      <c r="D5" s="89" t="s">
        <v>295</v>
      </c>
      <c r="E5" s="61"/>
    </row>
    <row r="6" spans="1:5" x14ac:dyDescent="0.2">
      <c r="A6" s="313"/>
      <c r="B6" s="281"/>
      <c r="C6" s="281"/>
      <c r="D6" s="87" t="s">
        <v>296</v>
      </c>
      <c r="E6" s="59"/>
    </row>
    <row r="7" spans="1:5" x14ac:dyDescent="0.2">
      <c r="A7" s="313"/>
      <c r="B7" s="281"/>
      <c r="C7" s="281"/>
      <c r="D7" s="87" t="s">
        <v>297</v>
      </c>
      <c r="E7" s="59"/>
    </row>
    <row r="8" spans="1:5" x14ac:dyDescent="0.2">
      <c r="A8" s="313"/>
      <c r="B8" s="281"/>
      <c r="C8" s="281"/>
      <c r="D8" s="87" t="s">
        <v>317</v>
      </c>
      <c r="E8" s="59"/>
    </row>
    <row r="9" spans="1:5" x14ac:dyDescent="0.2">
      <c r="A9" s="313"/>
      <c r="B9" s="281"/>
      <c r="C9" s="281"/>
      <c r="D9" s="87" t="s">
        <v>318</v>
      </c>
      <c r="E9" s="59"/>
    </row>
    <row r="10" spans="1:5" x14ac:dyDescent="0.2">
      <c r="A10" s="313"/>
      <c r="B10" s="281"/>
      <c r="C10" s="280" t="s">
        <v>625</v>
      </c>
      <c r="D10" s="87" t="s">
        <v>300</v>
      </c>
      <c r="E10" s="59"/>
    </row>
    <row r="11" spans="1:5" x14ac:dyDescent="0.2">
      <c r="A11" s="313"/>
      <c r="B11" s="281"/>
      <c r="C11" s="281"/>
      <c r="D11" s="87" t="s">
        <v>626</v>
      </c>
      <c r="E11" s="59"/>
    </row>
    <row r="12" spans="1:5" x14ac:dyDescent="0.2">
      <c r="A12" s="313"/>
      <c r="B12" s="280" t="s">
        <v>627</v>
      </c>
      <c r="C12" s="280" t="s">
        <v>628</v>
      </c>
      <c r="D12" s="87" t="s">
        <v>295</v>
      </c>
      <c r="E12" s="59"/>
    </row>
    <row r="13" spans="1:5" x14ac:dyDescent="0.2">
      <c r="A13" s="313"/>
      <c r="B13" s="281"/>
      <c r="C13" s="281"/>
      <c r="D13" s="87" t="s">
        <v>296</v>
      </c>
      <c r="E13" s="59"/>
    </row>
    <row r="14" spans="1:5" x14ac:dyDescent="0.2">
      <c r="A14" s="313"/>
      <c r="B14" s="281"/>
      <c r="C14" s="281"/>
      <c r="D14" s="87" t="s">
        <v>297</v>
      </c>
      <c r="E14" s="59"/>
    </row>
    <row r="15" spans="1:5" x14ac:dyDescent="0.2">
      <c r="A15" s="313"/>
      <c r="B15" s="281"/>
      <c r="C15" s="281"/>
      <c r="D15" s="87" t="s">
        <v>317</v>
      </c>
      <c r="E15" s="59"/>
    </row>
    <row r="16" spans="1:5" x14ac:dyDescent="0.2">
      <c r="A16" s="313"/>
      <c r="B16" s="281"/>
      <c r="C16" s="281"/>
      <c r="D16" s="87" t="s">
        <v>318</v>
      </c>
      <c r="E16" s="59"/>
    </row>
    <row r="17" spans="1:8" x14ac:dyDescent="0.2">
      <c r="A17" s="313"/>
      <c r="B17" s="281"/>
      <c r="C17" s="280" t="s">
        <v>625</v>
      </c>
      <c r="D17" s="87" t="s">
        <v>300</v>
      </c>
      <c r="E17" s="59"/>
    </row>
    <row r="18" spans="1:8" x14ac:dyDescent="0.2">
      <c r="A18" s="313"/>
      <c r="B18" s="281"/>
      <c r="C18" s="281"/>
      <c r="D18" s="87" t="s">
        <v>626</v>
      </c>
      <c r="E18" s="59"/>
    </row>
    <row r="19" spans="1:8" x14ac:dyDescent="0.2">
      <c r="A19" s="313"/>
      <c r="B19" s="323" t="s">
        <v>629</v>
      </c>
      <c r="C19" s="338"/>
      <c r="D19" s="324"/>
      <c r="E19" s="59"/>
    </row>
    <row r="20" spans="1:8" x14ac:dyDescent="0.2">
      <c r="A20" s="313"/>
      <c r="B20" s="323" t="s">
        <v>630</v>
      </c>
      <c r="C20" s="338"/>
      <c r="D20" s="324"/>
      <c r="E20" s="59"/>
    </row>
    <row r="21" spans="1:8" x14ac:dyDescent="0.2">
      <c r="A21" s="313"/>
      <c r="B21" s="323" t="s">
        <v>631</v>
      </c>
      <c r="C21" s="338"/>
      <c r="D21" s="324"/>
      <c r="E21" s="59"/>
    </row>
    <row r="22" spans="1:8" ht="13.5" thickBot="1" x14ac:dyDescent="0.25">
      <c r="A22" s="314"/>
      <c r="B22" s="325" t="s">
        <v>632</v>
      </c>
      <c r="C22" s="339"/>
      <c r="D22" s="326"/>
      <c r="E22" s="60"/>
    </row>
    <row r="24" spans="1:8" ht="13.5" thickBot="1" x14ac:dyDescent="0.25"/>
    <row r="25" spans="1:8" x14ac:dyDescent="0.2">
      <c r="A25" s="305" t="s">
        <v>649</v>
      </c>
      <c r="B25" s="304" t="s">
        <v>650</v>
      </c>
      <c r="C25" s="335" t="s">
        <v>651</v>
      </c>
      <c r="D25" s="337"/>
      <c r="E25" s="61"/>
    </row>
    <row r="26" spans="1:8" x14ac:dyDescent="0.2">
      <c r="A26" s="313"/>
      <c r="B26" s="281"/>
      <c r="C26" s="323" t="s">
        <v>652</v>
      </c>
      <c r="D26" s="324"/>
      <c r="E26" s="59"/>
    </row>
    <row r="27" spans="1:8" x14ac:dyDescent="0.2">
      <c r="A27" s="313"/>
      <c r="B27" s="280" t="s">
        <v>653</v>
      </c>
      <c r="C27" s="323" t="s">
        <v>297</v>
      </c>
      <c r="D27" s="324"/>
      <c r="E27" s="59"/>
    </row>
    <row r="28" spans="1:8" x14ac:dyDescent="0.2">
      <c r="A28" s="313"/>
      <c r="B28" s="281"/>
      <c r="C28" s="323" t="s">
        <v>317</v>
      </c>
      <c r="D28" s="324"/>
      <c r="E28" s="59"/>
    </row>
    <row r="29" spans="1:8" x14ac:dyDescent="0.2">
      <c r="A29" s="313"/>
      <c r="B29" s="323" t="s">
        <v>312</v>
      </c>
      <c r="C29" s="338"/>
      <c r="D29" s="324"/>
      <c r="E29" s="59"/>
    </row>
    <row r="30" spans="1:8" ht="13.5" thickBot="1" x14ac:dyDescent="0.25">
      <c r="A30" s="314"/>
      <c r="B30" s="325" t="s">
        <v>654</v>
      </c>
      <c r="C30" s="339"/>
      <c r="D30" s="326"/>
      <c r="E30" s="60"/>
    </row>
    <row r="31" spans="1:8" s="90" customFormat="1" x14ac:dyDescent="0.2">
      <c r="A31" s="86"/>
      <c r="B31" s="85"/>
      <c r="C31" s="86"/>
      <c r="D31" s="86"/>
      <c r="E31" s="86"/>
      <c r="F31" s="86"/>
      <c r="G31" s="86"/>
      <c r="H31" s="86"/>
    </row>
    <row r="32" spans="1:8" s="90" customFormat="1" ht="13.5" thickBot="1" x14ac:dyDescent="0.25">
      <c r="A32" s="86"/>
      <c r="B32" s="85"/>
      <c r="C32" s="86"/>
      <c r="D32" s="86"/>
      <c r="E32" s="86"/>
      <c r="F32" s="86"/>
      <c r="G32" s="86"/>
      <c r="H32" s="86"/>
    </row>
    <row r="33" spans="1:5" x14ac:dyDescent="0.2">
      <c r="A33" s="305" t="s">
        <v>642</v>
      </c>
      <c r="B33" s="335" t="s">
        <v>655</v>
      </c>
      <c r="C33" s="336"/>
      <c r="D33" s="337"/>
      <c r="E33" s="61"/>
    </row>
    <row r="34" spans="1:5" x14ac:dyDescent="0.2">
      <c r="A34" s="313"/>
      <c r="B34" s="323" t="s">
        <v>656</v>
      </c>
      <c r="C34" s="338"/>
      <c r="D34" s="324"/>
      <c r="E34" s="59"/>
    </row>
    <row r="35" spans="1:5" ht="13.5" thickBot="1" x14ac:dyDescent="0.25">
      <c r="A35" s="314"/>
      <c r="B35" s="325" t="s">
        <v>657</v>
      </c>
      <c r="C35" s="339"/>
      <c r="D35" s="326"/>
      <c r="E35" s="60"/>
    </row>
  </sheetData>
  <mergeCells count="24">
    <mergeCell ref="B33:D33"/>
    <mergeCell ref="B34:D34"/>
    <mergeCell ref="B35:D35"/>
    <mergeCell ref="C26:D26"/>
    <mergeCell ref="C27:D27"/>
    <mergeCell ref="C28:D28"/>
    <mergeCell ref="B29:D29"/>
    <mergeCell ref="B30:D30"/>
    <mergeCell ref="A25:A30"/>
    <mergeCell ref="B25:B26"/>
    <mergeCell ref="B27:B28"/>
    <mergeCell ref="A33:A35"/>
    <mergeCell ref="B19:D19"/>
    <mergeCell ref="B20:D20"/>
    <mergeCell ref="B21:D21"/>
    <mergeCell ref="B22:D22"/>
    <mergeCell ref="C25:D25"/>
    <mergeCell ref="A5:A22"/>
    <mergeCell ref="B5:B11"/>
    <mergeCell ref="C5:C9"/>
    <mergeCell ref="C10:C11"/>
    <mergeCell ref="B12:B18"/>
    <mergeCell ref="C12:C16"/>
    <mergeCell ref="C17:C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310"/>
  <sheetViews>
    <sheetView topLeftCell="A19" zoomScale="80" zoomScaleNormal="80" workbookViewId="0">
      <selection activeCell="E310" sqref="E310"/>
    </sheetView>
  </sheetViews>
  <sheetFormatPr defaultRowHeight="15" x14ac:dyDescent="0.2"/>
  <cols>
    <col min="1" max="1" width="22.7109375" style="18" bestFit="1" customWidth="1"/>
    <col min="2" max="2" width="45.42578125" style="18" customWidth="1"/>
    <col min="3" max="3" width="37.5703125" style="18" customWidth="1"/>
    <col min="4" max="4" width="82.28515625" style="18" bestFit="1" customWidth="1"/>
    <col min="5" max="5" width="56.28515625" style="18" bestFit="1" customWidth="1"/>
    <col min="6" max="6" width="61.85546875" bestFit="1" customWidth="1"/>
    <col min="7" max="7" width="22.42578125" bestFit="1" customWidth="1"/>
    <col min="8" max="8" width="23.28515625" bestFit="1" customWidth="1"/>
  </cols>
  <sheetData>
    <row r="3" spans="1:5" ht="15.75" thickBot="1" x14ac:dyDescent="0.25"/>
    <row r="4" spans="1:5" x14ac:dyDescent="0.2">
      <c r="A4" s="345" t="s">
        <v>595</v>
      </c>
      <c r="B4" s="22" t="s">
        <v>0</v>
      </c>
      <c r="C4" s="22" t="s">
        <v>12</v>
      </c>
      <c r="D4" s="23" t="s">
        <v>202</v>
      </c>
    </row>
    <row r="5" spans="1:5" x14ac:dyDescent="0.2">
      <c r="A5" s="349"/>
      <c r="B5" s="24"/>
      <c r="C5" s="19" t="s">
        <v>13</v>
      </c>
      <c r="D5" s="48" t="s">
        <v>585</v>
      </c>
      <c r="E5" s="26"/>
    </row>
    <row r="6" spans="1:5" ht="15.75" thickBot="1" x14ac:dyDescent="0.25">
      <c r="A6" s="350"/>
      <c r="B6" s="27" t="s">
        <v>17</v>
      </c>
      <c r="C6" s="27"/>
      <c r="D6" s="28"/>
    </row>
    <row r="7" spans="1:5" s="3" customFormat="1" ht="15.75" thickBot="1" x14ac:dyDescent="0.25">
      <c r="A7" s="29"/>
      <c r="B7" s="29"/>
      <c r="C7" s="29"/>
      <c r="D7" s="18"/>
      <c r="E7" s="18"/>
    </row>
    <row r="8" spans="1:5" x14ac:dyDescent="0.2">
      <c r="A8" s="345" t="s">
        <v>222</v>
      </c>
      <c r="B8" s="348" t="s">
        <v>223</v>
      </c>
      <c r="C8" s="348"/>
      <c r="D8" s="224">
        <v>1219.2</v>
      </c>
    </row>
    <row r="9" spans="1:5" x14ac:dyDescent="0.2">
      <c r="A9" s="346"/>
      <c r="B9" s="344" t="s">
        <v>224</v>
      </c>
      <c r="C9" s="344"/>
      <c r="D9" s="43"/>
    </row>
    <row r="10" spans="1:5" x14ac:dyDescent="0.2">
      <c r="A10" s="346"/>
      <c r="B10" s="344" t="s">
        <v>225</v>
      </c>
      <c r="C10" s="344"/>
      <c r="D10" s="69">
        <v>0.05</v>
      </c>
    </row>
    <row r="11" spans="1:5" x14ac:dyDescent="0.2">
      <c r="A11" s="346"/>
      <c r="B11" s="344" t="s">
        <v>226</v>
      </c>
      <c r="C11" s="344"/>
      <c r="D11" s="65" t="s">
        <v>591</v>
      </c>
    </row>
    <row r="12" spans="1:5" x14ac:dyDescent="0.2">
      <c r="A12" s="346"/>
      <c r="B12" s="344" t="s">
        <v>227</v>
      </c>
      <c r="C12" s="344"/>
      <c r="D12" s="25"/>
    </row>
    <row r="13" spans="1:5" x14ac:dyDescent="0.2">
      <c r="A13" s="346"/>
      <c r="B13" s="344" t="s">
        <v>228</v>
      </c>
      <c r="C13" s="344"/>
      <c r="D13" s="25"/>
    </row>
    <row r="14" spans="1:5" x14ac:dyDescent="0.2">
      <c r="A14" s="346"/>
      <c r="B14" s="344" t="s">
        <v>229</v>
      </c>
      <c r="C14" s="344"/>
      <c r="D14" s="65" t="s">
        <v>592</v>
      </c>
    </row>
    <row r="15" spans="1:5" x14ac:dyDescent="0.2">
      <c r="A15" s="346"/>
      <c r="B15" s="344" t="s">
        <v>230</v>
      </c>
      <c r="C15" s="344"/>
      <c r="D15" s="25"/>
    </row>
    <row r="16" spans="1:5" x14ac:dyDescent="0.2">
      <c r="A16" s="346"/>
      <c r="B16" s="344" t="s">
        <v>230</v>
      </c>
      <c r="C16" s="19" t="s">
        <v>231</v>
      </c>
      <c r="D16" s="48" t="s">
        <v>585</v>
      </c>
    </row>
    <row r="17" spans="1:4" x14ac:dyDescent="0.2">
      <c r="A17" s="346"/>
      <c r="B17" s="351"/>
      <c r="C17" s="19" t="s">
        <v>232</v>
      </c>
      <c r="D17" s="48" t="s">
        <v>585</v>
      </c>
    </row>
    <row r="18" spans="1:4" x14ac:dyDescent="0.2">
      <c r="A18" s="346"/>
      <c r="B18" s="351"/>
      <c r="C18" s="19" t="s">
        <v>233</v>
      </c>
      <c r="D18" s="69" t="s">
        <v>202</v>
      </c>
    </row>
    <row r="19" spans="1:4" x14ac:dyDescent="0.2">
      <c r="A19" s="346"/>
      <c r="B19" s="344" t="s">
        <v>234</v>
      </c>
      <c r="C19" s="19" t="s">
        <v>235</v>
      </c>
      <c r="D19" s="48" t="s">
        <v>585</v>
      </c>
    </row>
    <row r="20" spans="1:4" x14ac:dyDescent="0.2">
      <c r="A20" s="346"/>
      <c r="B20" s="351"/>
      <c r="C20" s="19" t="s">
        <v>236</v>
      </c>
      <c r="D20" s="48" t="s">
        <v>585</v>
      </c>
    </row>
    <row r="21" spans="1:4" x14ac:dyDescent="0.2">
      <c r="A21" s="346"/>
      <c r="B21" s="351"/>
      <c r="C21" s="19" t="s">
        <v>237</v>
      </c>
      <c r="D21" s="69" t="s">
        <v>202</v>
      </c>
    </row>
    <row r="22" spans="1:4" x14ac:dyDescent="0.2">
      <c r="A22" s="346"/>
      <c r="B22" s="344" t="s">
        <v>238</v>
      </c>
      <c r="C22" s="344"/>
      <c r="D22" s="65" t="s">
        <v>593</v>
      </c>
    </row>
    <row r="23" spans="1:4" x14ac:dyDescent="0.2">
      <c r="A23" s="346"/>
      <c r="B23" s="344" t="s">
        <v>239</v>
      </c>
      <c r="C23" s="344"/>
      <c r="D23" s="65" t="s">
        <v>594</v>
      </c>
    </row>
    <row r="24" spans="1:4" x14ac:dyDescent="0.2">
      <c r="A24" s="346"/>
      <c r="B24" s="344" t="s">
        <v>240</v>
      </c>
      <c r="C24" s="344"/>
      <c r="D24" s="47" t="s">
        <v>585</v>
      </c>
    </row>
    <row r="25" spans="1:4" x14ac:dyDescent="0.2">
      <c r="A25" s="346"/>
      <c r="B25" s="344" t="s">
        <v>241</v>
      </c>
      <c r="C25" s="344"/>
      <c r="D25" s="47" t="s">
        <v>585</v>
      </c>
    </row>
    <row r="26" spans="1:4" x14ac:dyDescent="0.2">
      <c r="A26" s="346"/>
      <c r="B26" s="344" t="s">
        <v>242</v>
      </c>
      <c r="C26" s="344"/>
      <c r="D26" s="65" t="s">
        <v>597</v>
      </c>
    </row>
    <row r="27" spans="1:4" x14ac:dyDescent="0.2">
      <c r="A27" s="346"/>
      <c r="B27" s="344" t="s">
        <v>243</v>
      </c>
      <c r="C27" s="344"/>
      <c r="D27" s="65" t="s">
        <v>598</v>
      </c>
    </row>
    <row r="28" spans="1:4" x14ac:dyDescent="0.2">
      <c r="A28" s="346"/>
      <c r="B28" s="344" t="s">
        <v>244</v>
      </c>
      <c r="C28" s="344"/>
      <c r="D28" s="65" t="s">
        <v>599</v>
      </c>
    </row>
    <row r="29" spans="1:4" x14ac:dyDescent="0.2">
      <c r="A29" s="346"/>
      <c r="B29" s="344" t="s">
        <v>245</v>
      </c>
      <c r="C29" s="344"/>
      <c r="D29" s="65" t="s">
        <v>598</v>
      </c>
    </row>
    <row r="30" spans="1:4" x14ac:dyDescent="0.2">
      <c r="A30" s="346"/>
      <c r="B30" s="344" t="s">
        <v>246</v>
      </c>
      <c r="C30" s="344"/>
      <c r="D30" s="69" t="s">
        <v>202</v>
      </c>
    </row>
    <row r="31" spans="1:4" x14ac:dyDescent="0.2">
      <c r="A31" s="346"/>
      <c r="B31" s="344" t="s">
        <v>247</v>
      </c>
      <c r="C31" s="344"/>
      <c r="D31" s="69" t="s">
        <v>202</v>
      </c>
    </row>
    <row r="32" spans="1:4" x14ac:dyDescent="0.2">
      <c r="A32" s="346"/>
      <c r="B32" s="344" t="s">
        <v>248</v>
      </c>
      <c r="C32" s="344"/>
      <c r="D32" s="69" t="s">
        <v>202</v>
      </c>
    </row>
    <row r="33" spans="1:5" ht="15.75" thickBot="1" x14ac:dyDescent="0.25">
      <c r="A33" s="347"/>
      <c r="B33" s="340" t="s">
        <v>249</v>
      </c>
      <c r="C33" s="340"/>
      <c r="D33" s="70" t="s">
        <v>202</v>
      </c>
    </row>
    <row r="34" spans="1:5" s="3" customFormat="1" ht="15.75" thickBot="1" x14ac:dyDescent="0.25">
      <c r="A34" s="18"/>
      <c r="B34" s="31"/>
      <c r="C34" s="31"/>
      <c r="D34" s="18"/>
      <c r="E34" s="18"/>
    </row>
    <row r="35" spans="1:5" x14ac:dyDescent="0.2">
      <c r="A35" s="345" t="s">
        <v>250</v>
      </c>
      <c r="B35" s="348" t="s">
        <v>251</v>
      </c>
      <c r="C35" s="348"/>
      <c r="D35" s="30"/>
    </row>
    <row r="36" spans="1:5" x14ac:dyDescent="0.2">
      <c r="A36" s="346"/>
      <c r="B36" s="344" t="s">
        <v>252</v>
      </c>
      <c r="C36" s="344"/>
      <c r="D36" s="69">
        <v>32001</v>
      </c>
    </row>
    <row r="37" spans="1:5" x14ac:dyDescent="0.2">
      <c r="A37" s="346"/>
      <c r="B37" s="344" t="s">
        <v>253</v>
      </c>
      <c r="C37" s="344"/>
      <c r="D37" s="69">
        <v>32000</v>
      </c>
    </row>
    <row r="38" spans="1:5" ht="15.75" thickBot="1" x14ac:dyDescent="0.25">
      <c r="A38" s="347"/>
      <c r="B38" s="340" t="s">
        <v>254</v>
      </c>
      <c r="C38" s="340"/>
      <c r="D38" s="28"/>
    </row>
    <row r="40" spans="1:5" ht="13.5" customHeight="1" thickBot="1" x14ac:dyDescent="0.25"/>
    <row r="41" spans="1:5" x14ac:dyDescent="0.2">
      <c r="A41" s="355" t="s">
        <v>14</v>
      </c>
      <c r="B41" s="341" t="s">
        <v>203</v>
      </c>
      <c r="C41" s="214" t="s">
        <v>0</v>
      </c>
      <c r="D41" s="215" t="s">
        <v>900</v>
      </c>
    </row>
    <row r="42" spans="1:5" x14ac:dyDescent="0.2">
      <c r="A42" s="356"/>
      <c r="B42" s="342"/>
      <c r="C42" s="216" t="s">
        <v>863</v>
      </c>
      <c r="D42" s="217" t="s">
        <v>869</v>
      </c>
    </row>
    <row r="43" spans="1:5" x14ac:dyDescent="0.2">
      <c r="A43" s="356"/>
      <c r="B43" s="342"/>
      <c r="C43" s="216" t="s">
        <v>1</v>
      </c>
      <c r="D43" s="217" t="s">
        <v>869</v>
      </c>
    </row>
    <row r="44" spans="1:5" s="121" customFormat="1" x14ac:dyDescent="0.2">
      <c r="A44" s="356"/>
      <c r="B44" s="342"/>
      <c r="C44" s="216" t="s">
        <v>864</v>
      </c>
      <c r="D44" s="217"/>
      <c r="E44" s="18"/>
    </row>
    <row r="45" spans="1:5" s="121" customFormat="1" x14ac:dyDescent="0.2">
      <c r="A45" s="356"/>
      <c r="B45" s="342"/>
      <c r="C45" s="216" t="s">
        <v>15</v>
      </c>
      <c r="D45" s="217"/>
      <c r="E45" s="18"/>
    </row>
    <row r="46" spans="1:5" s="121" customFormat="1" x14ac:dyDescent="0.2">
      <c r="A46" s="356"/>
      <c r="B46" s="342"/>
      <c r="C46" s="216" t="s">
        <v>865</v>
      </c>
      <c r="D46" s="217"/>
      <c r="E46" s="18"/>
    </row>
    <row r="47" spans="1:5" s="121" customFormat="1" x14ac:dyDescent="0.2">
      <c r="A47" s="356"/>
      <c r="B47" s="342"/>
      <c r="C47" s="216" t="s">
        <v>866</v>
      </c>
      <c r="D47" s="217"/>
      <c r="E47" s="18"/>
    </row>
    <row r="48" spans="1:5" s="121" customFormat="1" x14ac:dyDescent="0.2">
      <c r="A48" s="356"/>
      <c r="B48" s="342"/>
      <c r="C48" s="216" t="s">
        <v>867</v>
      </c>
      <c r="D48" s="217"/>
      <c r="E48" s="18"/>
    </row>
    <row r="49" spans="1:5" s="121" customFormat="1" ht="15.75" thickBot="1" x14ac:dyDescent="0.25">
      <c r="A49" s="356"/>
      <c r="B49" s="343"/>
      <c r="C49" s="218" t="s">
        <v>868</v>
      </c>
      <c r="D49" s="219"/>
      <c r="E49" s="18"/>
    </row>
    <row r="50" spans="1:5" s="121" customFormat="1" x14ac:dyDescent="0.2">
      <c r="A50" s="356"/>
      <c r="B50" s="345" t="s">
        <v>204</v>
      </c>
      <c r="C50" s="118" t="s">
        <v>0</v>
      </c>
      <c r="D50" s="30" t="s">
        <v>900</v>
      </c>
      <c r="E50" s="18"/>
    </row>
    <row r="51" spans="1:5" s="121" customFormat="1" x14ac:dyDescent="0.2">
      <c r="A51" s="356"/>
      <c r="B51" s="346"/>
      <c r="C51" s="119" t="s">
        <v>863</v>
      </c>
      <c r="D51" s="25" t="s">
        <v>870</v>
      </c>
      <c r="E51" s="18"/>
    </row>
    <row r="52" spans="1:5" s="121" customFormat="1" x14ac:dyDescent="0.2">
      <c r="A52" s="356"/>
      <c r="B52" s="346"/>
      <c r="C52" s="119" t="s">
        <v>1</v>
      </c>
      <c r="D52" s="25" t="s">
        <v>870</v>
      </c>
      <c r="E52" s="18"/>
    </row>
    <row r="53" spans="1:5" s="121" customFormat="1" x14ac:dyDescent="0.2">
      <c r="A53" s="356"/>
      <c r="B53" s="346"/>
      <c r="C53" s="119" t="s">
        <v>864</v>
      </c>
      <c r="D53" s="25"/>
      <c r="E53" s="18"/>
    </row>
    <row r="54" spans="1:5" s="121" customFormat="1" x14ac:dyDescent="0.2">
      <c r="A54" s="356"/>
      <c r="B54" s="346"/>
      <c r="C54" s="119" t="s">
        <v>15</v>
      </c>
      <c r="D54" s="25"/>
      <c r="E54" s="18"/>
    </row>
    <row r="55" spans="1:5" s="121" customFormat="1" x14ac:dyDescent="0.2">
      <c r="A55" s="356"/>
      <c r="B55" s="346"/>
      <c r="C55" s="119" t="s">
        <v>865</v>
      </c>
      <c r="D55" s="25"/>
      <c r="E55" s="18"/>
    </row>
    <row r="56" spans="1:5" s="121" customFormat="1" x14ac:dyDescent="0.2">
      <c r="A56" s="356"/>
      <c r="B56" s="346"/>
      <c r="C56" s="119" t="s">
        <v>866</v>
      </c>
      <c r="D56" s="25"/>
      <c r="E56" s="18"/>
    </row>
    <row r="57" spans="1:5" s="121" customFormat="1" x14ac:dyDescent="0.2">
      <c r="A57" s="356"/>
      <c r="B57" s="346"/>
      <c r="C57" s="119" t="s">
        <v>867</v>
      </c>
      <c r="D57" s="25"/>
      <c r="E57" s="18"/>
    </row>
    <row r="58" spans="1:5" s="121" customFormat="1" ht="15.75" thickBot="1" x14ac:dyDescent="0.25">
      <c r="A58" s="356"/>
      <c r="B58" s="347"/>
      <c r="C58" s="120" t="s">
        <v>868</v>
      </c>
      <c r="D58" s="28"/>
      <c r="E58" s="18"/>
    </row>
    <row r="59" spans="1:5" s="121" customFormat="1" x14ac:dyDescent="0.2">
      <c r="A59" s="356"/>
      <c r="B59" s="345" t="s">
        <v>205</v>
      </c>
      <c r="C59" s="118" t="s">
        <v>0</v>
      </c>
      <c r="D59" s="30" t="s">
        <v>900</v>
      </c>
      <c r="E59" s="18"/>
    </row>
    <row r="60" spans="1:5" s="121" customFormat="1" x14ac:dyDescent="0.2">
      <c r="A60" s="356"/>
      <c r="B60" s="346"/>
      <c r="C60" s="119" t="s">
        <v>863</v>
      </c>
      <c r="D60" s="25" t="s">
        <v>878</v>
      </c>
      <c r="E60" s="18"/>
    </row>
    <row r="61" spans="1:5" s="121" customFormat="1" x14ac:dyDescent="0.2">
      <c r="A61" s="356"/>
      <c r="B61" s="346"/>
      <c r="C61" s="119" t="s">
        <v>1</v>
      </c>
      <c r="D61" s="25" t="s">
        <v>878</v>
      </c>
      <c r="E61" s="18"/>
    </row>
    <row r="62" spans="1:5" s="121" customFormat="1" x14ac:dyDescent="0.2">
      <c r="A62" s="356"/>
      <c r="B62" s="346"/>
      <c r="C62" s="119" t="s">
        <v>864</v>
      </c>
      <c r="D62" s="25"/>
      <c r="E62" s="18"/>
    </row>
    <row r="63" spans="1:5" s="121" customFormat="1" x14ac:dyDescent="0.2">
      <c r="A63" s="356"/>
      <c r="B63" s="346"/>
      <c r="C63" s="119" t="s">
        <v>15</v>
      </c>
      <c r="D63" s="25"/>
      <c r="E63" s="18"/>
    </row>
    <row r="64" spans="1:5" s="121" customFormat="1" x14ac:dyDescent="0.2">
      <c r="A64" s="356"/>
      <c r="B64" s="346"/>
      <c r="C64" s="119" t="s">
        <v>865</v>
      </c>
      <c r="D64" s="25"/>
      <c r="E64" s="18"/>
    </row>
    <row r="65" spans="1:5" s="121" customFormat="1" x14ac:dyDescent="0.2">
      <c r="A65" s="356"/>
      <c r="B65" s="346"/>
      <c r="C65" s="119" t="s">
        <v>866</v>
      </c>
      <c r="D65" s="25"/>
      <c r="E65" s="18"/>
    </row>
    <row r="66" spans="1:5" s="121" customFormat="1" x14ac:dyDescent="0.2">
      <c r="A66" s="356"/>
      <c r="B66" s="346"/>
      <c r="C66" s="119" t="s">
        <v>867</v>
      </c>
      <c r="D66" s="25"/>
      <c r="E66" s="18"/>
    </row>
    <row r="67" spans="1:5" s="121" customFormat="1" ht="15.75" thickBot="1" x14ac:dyDescent="0.25">
      <c r="A67" s="356"/>
      <c r="B67" s="347"/>
      <c r="C67" s="120" t="s">
        <v>868</v>
      </c>
      <c r="D67" s="28"/>
      <c r="E67" s="18"/>
    </row>
    <row r="68" spans="1:5" s="121" customFormat="1" x14ac:dyDescent="0.2">
      <c r="A68" s="356"/>
      <c r="B68" s="345" t="s">
        <v>206</v>
      </c>
      <c r="C68" s="118" t="s">
        <v>0</v>
      </c>
      <c r="D68" s="30" t="s">
        <v>900</v>
      </c>
      <c r="E68" s="18"/>
    </row>
    <row r="69" spans="1:5" x14ac:dyDescent="0.2">
      <c r="A69" s="356"/>
      <c r="B69" s="346"/>
      <c r="C69" s="119" t="s">
        <v>863</v>
      </c>
      <c r="D69" s="25" t="s">
        <v>879</v>
      </c>
    </row>
    <row r="70" spans="1:5" x14ac:dyDescent="0.2">
      <c r="A70" s="356"/>
      <c r="B70" s="346"/>
      <c r="C70" s="119" t="s">
        <v>1</v>
      </c>
      <c r="D70" s="25" t="s">
        <v>879</v>
      </c>
    </row>
    <row r="71" spans="1:5" x14ac:dyDescent="0.2">
      <c r="A71" s="356"/>
      <c r="B71" s="346"/>
      <c r="C71" s="119" t="s">
        <v>864</v>
      </c>
      <c r="D71" s="25"/>
    </row>
    <row r="72" spans="1:5" x14ac:dyDescent="0.2">
      <c r="A72" s="356"/>
      <c r="B72" s="346"/>
      <c r="C72" s="119" t="s">
        <v>15</v>
      </c>
      <c r="D72" s="25"/>
    </row>
    <row r="73" spans="1:5" x14ac:dyDescent="0.2">
      <c r="A73" s="356"/>
      <c r="B73" s="346"/>
      <c r="C73" s="119" t="s">
        <v>865</v>
      </c>
      <c r="D73" s="25"/>
    </row>
    <row r="74" spans="1:5" x14ac:dyDescent="0.2">
      <c r="A74" s="356"/>
      <c r="B74" s="346"/>
      <c r="C74" s="119" t="s">
        <v>866</v>
      </c>
      <c r="D74" s="25"/>
    </row>
    <row r="75" spans="1:5" x14ac:dyDescent="0.2">
      <c r="A75" s="356"/>
      <c r="B75" s="346"/>
      <c r="C75" s="119" t="s">
        <v>867</v>
      </c>
      <c r="D75" s="25"/>
    </row>
    <row r="76" spans="1:5" ht="15.75" thickBot="1" x14ac:dyDescent="0.25">
      <c r="A76" s="356"/>
      <c r="B76" s="347"/>
      <c r="C76" s="120" t="s">
        <v>868</v>
      </c>
      <c r="D76" s="28"/>
    </row>
    <row r="77" spans="1:5" x14ac:dyDescent="0.2">
      <c r="A77" s="356"/>
      <c r="B77" s="345" t="s">
        <v>207</v>
      </c>
      <c r="C77" s="118" t="s">
        <v>0</v>
      </c>
      <c r="D77" s="30" t="s">
        <v>900</v>
      </c>
    </row>
    <row r="78" spans="1:5" x14ac:dyDescent="0.2">
      <c r="A78" s="356"/>
      <c r="B78" s="346"/>
      <c r="C78" s="119" t="s">
        <v>863</v>
      </c>
      <c r="D78" s="25" t="s">
        <v>880</v>
      </c>
    </row>
    <row r="79" spans="1:5" x14ac:dyDescent="0.2">
      <c r="A79" s="356"/>
      <c r="B79" s="346"/>
      <c r="C79" s="119" t="s">
        <v>1</v>
      </c>
      <c r="D79" s="25" t="s">
        <v>880</v>
      </c>
    </row>
    <row r="80" spans="1:5" x14ac:dyDescent="0.2">
      <c r="A80" s="356"/>
      <c r="B80" s="346"/>
      <c r="C80" s="119" t="s">
        <v>864</v>
      </c>
      <c r="D80" s="25"/>
    </row>
    <row r="81" spans="1:4" x14ac:dyDescent="0.2">
      <c r="A81" s="356"/>
      <c r="B81" s="346"/>
      <c r="C81" s="119" t="s">
        <v>15</v>
      </c>
      <c r="D81" s="25"/>
    </row>
    <row r="82" spans="1:4" x14ac:dyDescent="0.2">
      <c r="A82" s="356"/>
      <c r="B82" s="346"/>
      <c r="C82" s="119" t="s">
        <v>865</v>
      </c>
      <c r="D82" s="25"/>
    </row>
    <row r="83" spans="1:4" x14ac:dyDescent="0.2">
      <c r="A83" s="356"/>
      <c r="B83" s="346"/>
      <c r="C83" s="119" t="s">
        <v>866</v>
      </c>
      <c r="D83" s="25"/>
    </row>
    <row r="84" spans="1:4" x14ac:dyDescent="0.2">
      <c r="A84" s="356"/>
      <c r="B84" s="346"/>
      <c r="C84" s="119" t="s">
        <v>867</v>
      </c>
      <c r="D84" s="25"/>
    </row>
    <row r="85" spans="1:4" ht="15.75" thickBot="1" x14ac:dyDescent="0.25">
      <c r="A85" s="356"/>
      <c r="B85" s="347"/>
      <c r="C85" s="120" t="s">
        <v>868</v>
      </c>
      <c r="D85" s="28"/>
    </row>
    <row r="86" spans="1:4" x14ac:dyDescent="0.2">
      <c r="A86" s="356"/>
      <c r="B86" s="345" t="s">
        <v>208</v>
      </c>
      <c r="C86" s="118" t="s">
        <v>0</v>
      </c>
      <c r="D86" s="30" t="s">
        <v>900</v>
      </c>
    </row>
    <row r="87" spans="1:4" x14ac:dyDescent="0.2">
      <c r="A87" s="356"/>
      <c r="B87" s="346"/>
      <c r="C87" s="119" t="s">
        <v>863</v>
      </c>
      <c r="D87" s="25" t="s">
        <v>881</v>
      </c>
    </row>
    <row r="88" spans="1:4" x14ac:dyDescent="0.2">
      <c r="A88" s="356"/>
      <c r="B88" s="346"/>
      <c r="C88" s="119" t="s">
        <v>1</v>
      </c>
      <c r="D88" s="25" t="s">
        <v>881</v>
      </c>
    </row>
    <row r="89" spans="1:4" x14ac:dyDescent="0.2">
      <c r="A89" s="356"/>
      <c r="B89" s="346"/>
      <c r="C89" s="119" t="s">
        <v>864</v>
      </c>
      <c r="D89" s="25"/>
    </row>
    <row r="90" spans="1:4" x14ac:dyDescent="0.2">
      <c r="A90" s="356"/>
      <c r="B90" s="346"/>
      <c r="C90" s="119" t="s">
        <v>15</v>
      </c>
      <c r="D90" s="25"/>
    </row>
    <row r="91" spans="1:4" x14ac:dyDescent="0.2">
      <c r="A91" s="356"/>
      <c r="B91" s="346"/>
      <c r="C91" s="119" t="s">
        <v>865</v>
      </c>
      <c r="D91" s="25"/>
    </row>
    <row r="92" spans="1:4" x14ac:dyDescent="0.2">
      <c r="A92" s="356"/>
      <c r="B92" s="346"/>
      <c r="C92" s="119" t="s">
        <v>866</v>
      </c>
      <c r="D92" s="25"/>
    </row>
    <row r="93" spans="1:4" x14ac:dyDescent="0.2">
      <c r="A93" s="356"/>
      <c r="B93" s="346"/>
      <c r="C93" s="119" t="s">
        <v>867</v>
      </c>
      <c r="D93" s="25"/>
    </row>
    <row r="94" spans="1:4" ht="15.75" thickBot="1" x14ac:dyDescent="0.25">
      <c r="A94" s="356"/>
      <c r="B94" s="347"/>
      <c r="C94" s="120" t="s">
        <v>868</v>
      </c>
      <c r="D94" s="28"/>
    </row>
    <row r="95" spans="1:4" x14ac:dyDescent="0.2">
      <c r="A95" s="356"/>
      <c r="B95" s="345" t="s">
        <v>209</v>
      </c>
      <c r="C95" s="118" t="s">
        <v>0</v>
      </c>
      <c r="D95" s="30" t="s">
        <v>900</v>
      </c>
    </row>
    <row r="96" spans="1:4" x14ac:dyDescent="0.2">
      <c r="A96" s="356"/>
      <c r="B96" s="346"/>
      <c r="C96" s="119" t="s">
        <v>863</v>
      </c>
      <c r="D96" s="25" t="s">
        <v>882</v>
      </c>
    </row>
    <row r="97" spans="1:4" x14ac:dyDescent="0.2">
      <c r="A97" s="356"/>
      <c r="B97" s="346"/>
      <c r="C97" s="119" t="s">
        <v>1</v>
      </c>
      <c r="D97" s="25" t="s">
        <v>882</v>
      </c>
    </row>
    <row r="98" spans="1:4" x14ac:dyDescent="0.2">
      <c r="A98" s="356"/>
      <c r="B98" s="346"/>
      <c r="C98" s="119" t="s">
        <v>864</v>
      </c>
      <c r="D98" s="25"/>
    </row>
    <row r="99" spans="1:4" x14ac:dyDescent="0.2">
      <c r="A99" s="356"/>
      <c r="B99" s="346"/>
      <c r="C99" s="119" t="s">
        <v>15</v>
      </c>
      <c r="D99" s="25"/>
    </row>
    <row r="100" spans="1:4" x14ac:dyDescent="0.2">
      <c r="A100" s="356"/>
      <c r="B100" s="346"/>
      <c r="C100" s="119" t="s">
        <v>865</v>
      </c>
      <c r="D100" s="25"/>
    </row>
    <row r="101" spans="1:4" x14ac:dyDescent="0.2">
      <c r="A101" s="356"/>
      <c r="B101" s="346"/>
      <c r="C101" s="119" t="s">
        <v>866</v>
      </c>
      <c r="D101" s="25"/>
    </row>
    <row r="102" spans="1:4" x14ac:dyDescent="0.2">
      <c r="A102" s="356"/>
      <c r="B102" s="346"/>
      <c r="C102" s="119" t="s">
        <v>867</v>
      </c>
      <c r="D102" s="25"/>
    </row>
    <row r="103" spans="1:4" ht="15.75" thickBot="1" x14ac:dyDescent="0.25">
      <c r="A103" s="356"/>
      <c r="B103" s="347"/>
      <c r="C103" s="120" t="s">
        <v>868</v>
      </c>
      <c r="D103" s="28"/>
    </row>
    <row r="104" spans="1:4" x14ac:dyDescent="0.2">
      <c r="A104" s="356"/>
      <c r="B104" s="345" t="s">
        <v>210</v>
      </c>
      <c r="C104" s="118" t="s">
        <v>0</v>
      </c>
      <c r="D104" s="30" t="s">
        <v>900</v>
      </c>
    </row>
    <row r="105" spans="1:4" x14ac:dyDescent="0.2">
      <c r="A105" s="356"/>
      <c r="B105" s="346"/>
      <c r="C105" s="119" t="s">
        <v>863</v>
      </c>
      <c r="D105" s="25" t="s">
        <v>883</v>
      </c>
    </row>
    <row r="106" spans="1:4" x14ac:dyDescent="0.2">
      <c r="A106" s="356"/>
      <c r="B106" s="346"/>
      <c r="C106" s="119" t="s">
        <v>1</v>
      </c>
      <c r="D106" s="25" t="s">
        <v>883</v>
      </c>
    </row>
    <row r="107" spans="1:4" x14ac:dyDescent="0.2">
      <c r="A107" s="356"/>
      <c r="B107" s="346"/>
      <c r="C107" s="119" t="s">
        <v>864</v>
      </c>
      <c r="D107" s="25"/>
    </row>
    <row r="108" spans="1:4" x14ac:dyDescent="0.2">
      <c r="A108" s="356"/>
      <c r="B108" s="346"/>
      <c r="C108" s="119" t="s">
        <v>15</v>
      </c>
      <c r="D108" s="25"/>
    </row>
    <row r="109" spans="1:4" x14ac:dyDescent="0.2">
      <c r="A109" s="356"/>
      <c r="B109" s="346"/>
      <c r="C109" s="119" t="s">
        <v>865</v>
      </c>
      <c r="D109" s="25"/>
    </row>
    <row r="110" spans="1:4" x14ac:dyDescent="0.2">
      <c r="A110" s="356"/>
      <c r="B110" s="346"/>
      <c r="C110" s="119" t="s">
        <v>866</v>
      </c>
      <c r="D110" s="25"/>
    </row>
    <row r="111" spans="1:4" x14ac:dyDescent="0.2">
      <c r="A111" s="356"/>
      <c r="B111" s="346"/>
      <c r="C111" s="119" t="s">
        <v>867</v>
      </c>
      <c r="D111" s="25"/>
    </row>
    <row r="112" spans="1:4" ht="15.75" thickBot="1" x14ac:dyDescent="0.25">
      <c r="A112" s="356"/>
      <c r="B112" s="347"/>
      <c r="C112" s="120" t="s">
        <v>868</v>
      </c>
      <c r="D112" s="28"/>
    </row>
    <row r="113" spans="1:4" x14ac:dyDescent="0.2">
      <c r="A113" s="356"/>
      <c r="B113" s="345" t="s">
        <v>211</v>
      </c>
      <c r="C113" s="118" t="s">
        <v>0</v>
      </c>
      <c r="D113" s="30" t="s">
        <v>900</v>
      </c>
    </row>
    <row r="114" spans="1:4" x14ac:dyDescent="0.2">
      <c r="A114" s="356"/>
      <c r="B114" s="346"/>
      <c r="C114" s="119" t="s">
        <v>863</v>
      </c>
      <c r="D114" s="25" t="s">
        <v>884</v>
      </c>
    </row>
    <row r="115" spans="1:4" x14ac:dyDescent="0.2">
      <c r="A115" s="356"/>
      <c r="B115" s="346"/>
      <c r="C115" s="119" t="s">
        <v>1</v>
      </c>
      <c r="D115" s="25" t="s">
        <v>884</v>
      </c>
    </row>
    <row r="116" spans="1:4" x14ac:dyDescent="0.2">
      <c r="A116" s="356"/>
      <c r="B116" s="346"/>
      <c r="C116" s="119" t="s">
        <v>864</v>
      </c>
      <c r="D116" s="25"/>
    </row>
    <row r="117" spans="1:4" x14ac:dyDescent="0.2">
      <c r="A117" s="356"/>
      <c r="B117" s="346"/>
      <c r="C117" s="119" t="s">
        <v>15</v>
      </c>
      <c r="D117" s="25"/>
    </row>
    <row r="118" spans="1:4" x14ac:dyDescent="0.2">
      <c r="A118" s="356"/>
      <c r="B118" s="346"/>
      <c r="C118" s="119" t="s">
        <v>865</v>
      </c>
      <c r="D118" s="25"/>
    </row>
    <row r="119" spans="1:4" x14ac:dyDescent="0.2">
      <c r="A119" s="356"/>
      <c r="B119" s="346"/>
      <c r="C119" s="119" t="s">
        <v>866</v>
      </c>
      <c r="D119" s="25"/>
    </row>
    <row r="120" spans="1:4" x14ac:dyDescent="0.2">
      <c r="A120" s="356"/>
      <c r="B120" s="346"/>
      <c r="C120" s="119" t="s">
        <v>867</v>
      </c>
      <c r="D120" s="25"/>
    </row>
    <row r="121" spans="1:4" ht="15.75" thickBot="1" x14ac:dyDescent="0.25">
      <c r="A121" s="356"/>
      <c r="B121" s="347"/>
      <c r="C121" s="120" t="s">
        <v>868</v>
      </c>
      <c r="D121" s="28"/>
    </row>
    <row r="122" spans="1:4" x14ac:dyDescent="0.2">
      <c r="A122" s="356"/>
      <c r="B122" s="345" t="s">
        <v>871</v>
      </c>
      <c r="C122" s="118" t="s">
        <v>0</v>
      </c>
      <c r="D122" s="30" t="s">
        <v>900</v>
      </c>
    </row>
    <row r="123" spans="1:4" x14ac:dyDescent="0.2">
      <c r="A123" s="356"/>
      <c r="B123" s="346"/>
      <c r="C123" s="119" t="s">
        <v>863</v>
      </c>
      <c r="D123" s="25" t="s">
        <v>885</v>
      </c>
    </row>
    <row r="124" spans="1:4" x14ac:dyDescent="0.2">
      <c r="A124" s="356"/>
      <c r="B124" s="346"/>
      <c r="C124" s="119" t="s">
        <v>1</v>
      </c>
      <c r="D124" s="25" t="s">
        <v>885</v>
      </c>
    </row>
    <row r="125" spans="1:4" x14ac:dyDescent="0.2">
      <c r="A125" s="356"/>
      <c r="B125" s="346"/>
      <c r="C125" s="119" t="s">
        <v>864</v>
      </c>
      <c r="D125" s="25"/>
    </row>
    <row r="126" spans="1:4" x14ac:dyDescent="0.2">
      <c r="A126" s="356"/>
      <c r="B126" s="346"/>
      <c r="C126" s="119" t="s">
        <v>15</v>
      </c>
      <c r="D126" s="25"/>
    </row>
    <row r="127" spans="1:4" x14ac:dyDescent="0.2">
      <c r="A127" s="356"/>
      <c r="B127" s="346"/>
      <c r="C127" s="119" t="s">
        <v>865</v>
      </c>
      <c r="D127" s="25"/>
    </row>
    <row r="128" spans="1:4" x14ac:dyDescent="0.2">
      <c r="A128" s="356"/>
      <c r="B128" s="346"/>
      <c r="C128" s="119" t="s">
        <v>866</v>
      </c>
      <c r="D128" s="25"/>
    </row>
    <row r="129" spans="1:4" x14ac:dyDescent="0.2">
      <c r="A129" s="356"/>
      <c r="B129" s="346"/>
      <c r="C129" s="119" t="s">
        <v>867</v>
      </c>
      <c r="D129" s="25"/>
    </row>
    <row r="130" spans="1:4" ht="15.75" thickBot="1" x14ac:dyDescent="0.25">
      <c r="A130" s="356"/>
      <c r="B130" s="347"/>
      <c r="C130" s="120" t="s">
        <v>868</v>
      </c>
      <c r="D130" s="28"/>
    </row>
    <row r="131" spans="1:4" x14ac:dyDescent="0.2">
      <c r="A131" s="356"/>
      <c r="B131" s="345" t="s">
        <v>872</v>
      </c>
      <c r="C131" s="118" t="s">
        <v>0</v>
      </c>
      <c r="D131" s="30" t="s">
        <v>900</v>
      </c>
    </row>
    <row r="132" spans="1:4" x14ac:dyDescent="0.2">
      <c r="A132" s="356"/>
      <c r="B132" s="346"/>
      <c r="C132" s="119" t="s">
        <v>863</v>
      </c>
      <c r="D132" s="25" t="s">
        <v>886</v>
      </c>
    </row>
    <row r="133" spans="1:4" x14ac:dyDescent="0.2">
      <c r="A133" s="356"/>
      <c r="B133" s="346"/>
      <c r="C133" s="119" t="s">
        <v>1</v>
      </c>
      <c r="D133" s="25" t="s">
        <v>886</v>
      </c>
    </row>
    <row r="134" spans="1:4" x14ac:dyDescent="0.2">
      <c r="A134" s="356"/>
      <c r="B134" s="346"/>
      <c r="C134" s="119" t="s">
        <v>864</v>
      </c>
      <c r="D134" s="25"/>
    </row>
    <row r="135" spans="1:4" x14ac:dyDescent="0.2">
      <c r="A135" s="356"/>
      <c r="B135" s="346"/>
      <c r="C135" s="119" t="s">
        <v>15</v>
      </c>
      <c r="D135" s="25"/>
    </row>
    <row r="136" spans="1:4" x14ac:dyDescent="0.2">
      <c r="A136" s="356"/>
      <c r="B136" s="346"/>
      <c r="C136" s="119" t="s">
        <v>865</v>
      </c>
      <c r="D136" s="25"/>
    </row>
    <row r="137" spans="1:4" x14ac:dyDescent="0.2">
      <c r="A137" s="356"/>
      <c r="B137" s="346"/>
      <c r="C137" s="119" t="s">
        <v>866</v>
      </c>
      <c r="D137" s="25"/>
    </row>
    <row r="138" spans="1:4" x14ac:dyDescent="0.2">
      <c r="A138" s="356"/>
      <c r="B138" s="346"/>
      <c r="C138" s="119" t="s">
        <v>867</v>
      </c>
      <c r="D138" s="25"/>
    </row>
    <row r="139" spans="1:4" ht="15.75" thickBot="1" x14ac:dyDescent="0.25">
      <c r="A139" s="356"/>
      <c r="B139" s="347"/>
      <c r="C139" s="120" t="s">
        <v>868</v>
      </c>
      <c r="D139" s="28"/>
    </row>
    <row r="140" spans="1:4" x14ac:dyDescent="0.2">
      <c r="A140" s="356"/>
      <c r="B140" s="345" t="s">
        <v>873</v>
      </c>
      <c r="C140" s="118" t="s">
        <v>0</v>
      </c>
      <c r="D140" s="30" t="s">
        <v>900</v>
      </c>
    </row>
    <row r="141" spans="1:4" x14ac:dyDescent="0.2">
      <c r="A141" s="356"/>
      <c r="B141" s="346"/>
      <c r="C141" s="119" t="s">
        <v>863</v>
      </c>
      <c r="D141" s="25" t="s">
        <v>887</v>
      </c>
    </row>
    <row r="142" spans="1:4" x14ac:dyDescent="0.2">
      <c r="A142" s="356"/>
      <c r="B142" s="346"/>
      <c r="C142" s="119" t="s">
        <v>1</v>
      </c>
      <c r="D142" s="25" t="s">
        <v>887</v>
      </c>
    </row>
    <row r="143" spans="1:4" x14ac:dyDescent="0.2">
      <c r="A143" s="356"/>
      <c r="B143" s="346"/>
      <c r="C143" s="119" t="s">
        <v>864</v>
      </c>
      <c r="D143" s="25"/>
    </row>
    <row r="144" spans="1:4" x14ac:dyDescent="0.2">
      <c r="A144" s="356"/>
      <c r="B144" s="346"/>
      <c r="C144" s="119" t="s">
        <v>15</v>
      </c>
      <c r="D144" s="25"/>
    </row>
    <row r="145" spans="1:4" x14ac:dyDescent="0.2">
      <c r="A145" s="356"/>
      <c r="B145" s="346"/>
      <c r="C145" s="119" t="s">
        <v>865</v>
      </c>
      <c r="D145" s="25"/>
    </row>
    <row r="146" spans="1:4" x14ac:dyDescent="0.2">
      <c r="A146" s="356"/>
      <c r="B146" s="346"/>
      <c r="C146" s="119" t="s">
        <v>866</v>
      </c>
      <c r="D146" s="25"/>
    </row>
    <row r="147" spans="1:4" x14ac:dyDescent="0.2">
      <c r="A147" s="356"/>
      <c r="B147" s="346"/>
      <c r="C147" s="119" t="s">
        <v>867</v>
      </c>
      <c r="D147" s="25"/>
    </row>
    <row r="148" spans="1:4" ht="15.75" thickBot="1" x14ac:dyDescent="0.25">
      <c r="A148" s="356"/>
      <c r="B148" s="347"/>
      <c r="C148" s="120" t="s">
        <v>868</v>
      </c>
      <c r="D148" s="28"/>
    </row>
    <row r="149" spans="1:4" x14ac:dyDescent="0.2">
      <c r="A149" s="356"/>
      <c r="B149" s="345" t="s">
        <v>874</v>
      </c>
      <c r="C149" s="118" t="s">
        <v>0</v>
      </c>
      <c r="D149" s="30" t="s">
        <v>900</v>
      </c>
    </row>
    <row r="150" spans="1:4" x14ac:dyDescent="0.2">
      <c r="A150" s="356"/>
      <c r="B150" s="346"/>
      <c r="C150" s="119" t="s">
        <v>863</v>
      </c>
      <c r="D150" s="25" t="s">
        <v>888</v>
      </c>
    </row>
    <row r="151" spans="1:4" x14ac:dyDescent="0.2">
      <c r="A151" s="356"/>
      <c r="B151" s="346"/>
      <c r="C151" s="119" t="s">
        <v>1</v>
      </c>
      <c r="D151" s="25" t="s">
        <v>888</v>
      </c>
    </row>
    <row r="152" spans="1:4" x14ac:dyDescent="0.2">
      <c r="A152" s="356"/>
      <c r="B152" s="346"/>
      <c r="C152" s="119" t="s">
        <v>864</v>
      </c>
      <c r="D152" s="25"/>
    </row>
    <row r="153" spans="1:4" x14ac:dyDescent="0.2">
      <c r="A153" s="356"/>
      <c r="B153" s="346"/>
      <c r="C153" s="119" t="s">
        <v>15</v>
      </c>
      <c r="D153" s="25"/>
    </row>
    <row r="154" spans="1:4" x14ac:dyDescent="0.2">
      <c r="A154" s="356"/>
      <c r="B154" s="346"/>
      <c r="C154" s="119" t="s">
        <v>865</v>
      </c>
      <c r="D154" s="25"/>
    </row>
    <row r="155" spans="1:4" x14ac:dyDescent="0.2">
      <c r="A155" s="356"/>
      <c r="B155" s="346"/>
      <c r="C155" s="119" t="s">
        <v>866</v>
      </c>
      <c r="D155" s="25"/>
    </row>
    <row r="156" spans="1:4" x14ac:dyDescent="0.2">
      <c r="A156" s="356"/>
      <c r="B156" s="346"/>
      <c r="C156" s="119" t="s">
        <v>867</v>
      </c>
      <c r="D156" s="25"/>
    </row>
    <row r="157" spans="1:4" ht="15.75" thickBot="1" x14ac:dyDescent="0.25">
      <c r="A157" s="356"/>
      <c r="B157" s="347"/>
      <c r="C157" s="120" t="s">
        <v>868</v>
      </c>
      <c r="D157" s="28"/>
    </row>
    <row r="158" spans="1:4" x14ac:dyDescent="0.2">
      <c r="A158" s="356"/>
      <c r="B158" s="345" t="s">
        <v>875</v>
      </c>
      <c r="C158" s="118" t="s">
        <v>0</v>
      </c>
      <c r="D158" s="30" t="s">
        <v>900</v>
      </c>
    </row>
    <row r="159" spans="1:4" x14ac:dyDescent="0.2">
      <c r="A159" s="356"/>
      <c r="B159" s="346"/>
      <c r="C159" s="119" t="s">
        <v>863</v>
      </c>
      <c r="D159" s="25" t="s">
        <v>889</v>
      </c>
    </row>
    <row r="160" spans="1:4" x14ac:dyDescent="0.2">
      <c r="A160" s="356"/>
      <c r="B160" s="346"/>
      <c r="C160" s="119" t="s">
        <v>1</v>
      </c>
      <c r="D160" s="25" t="s">
        <v>889</v>
      </c>
    </row>
    <row r="161" spans="1:4" x14ac:dyDescent="0.2">
      <c r="A161" s="356"/>
      <c r="B161" s="346"/>
      <c r="C161" s="119" t="s">
        <v>864</v>
      </c>
      <c r="D161" s="25"/>
    </row>
    <row r="162" spans="1:4" x14ac:dyDescent="0.2">
      <c r="A162" s="356"/>
      <c r="B162" s="346"/>
      <c r="C162" s="119" t="s">
        <v>15</v>
      </c>
      <c r="D162" s="25"/>
    </row>
    <row r="163" spans="1:4" x14ac:dyDescent="0.2">
      <c r="A163" s="356"/>
      <c r="B163" s="346"/>
      <c r="C163" s="119" t="s">
        <v>865</v>
      </c>
      <c r="D163" s="25"/>
    </row>
    <row r="164" spans="1:4" x14ac:dyDescent="0.2">
      <c r="A164" s="356"/>
      <c r="B164" s="346"/>
      <c r="C164" s="119" t="s">
        <v>866</v>
      </c>
      <c r="D164" s="25"/>
    </row>
    <row r="165" spans="1:4" x14ac:dyDescent="0.2">
      <c r="A165" s="356"/>
      <c r="B165" s="346"/>
      <c r="C165" s="119" t="s">
        <v>867</v>
      </c>
      <c r="D165" s="25"/>
    </row>
    <row r="166" spans="1:4" ht="15.75" thickBot="1" x14ac:dyDescent="0.25">
      <c r="A166" s="356"/>
      <c r="B166" s="347"/>
      <c r="C166" s="120" t="s">
        <v>868</v>
      </c>
      <c r="D166" s="28"/>
    </row>
    <row r="167" spans="1:4" x14ac:dyDescent="0.2">
      <c r="A167" s="356"/>
      <c r="B167" s="345" t="s">
        <v>876</v>
      </c>
      <c r="C167" s="118" t="s">
        <v>0</v>
      </c>
      <c r="D167" s="30" t="s">
        <v>900</v>
      </c>
    </row>
    <row r="168" spans="1:4" x14ac:dyDescent="0.2">
      <c r="A168" s="356"/>
      <c r="B168" s="346"/>
      <c r="C168" s="119" t="s">
        <v>863</v>
      </c>
      <c r="D168" s="25" t="s">
        <v>890</v>
      </c>
    </row>
    <row r="169" spans="1:4" x14ac:dyDescent="0.2">
      <c r="A169" s="356"/>
      <c r="B169" s="346"/>
      <c r="C169" s="119" t="s">
        <v>1</v>
      </c>
      <c r="D169" s="25" t="s">
        <v>890</v>
      </c>
    </row>
    <row r="170" spans="1:4" x14ac:dyDescent="0.2">
      <c r="A170" s="356"/>
      <c r="B170" s="346"/>
      <c r="C170" s="119" t="s">
        <v>864</v>
      </c>
      <c r="D170" s="25"/>
    </row>
    <row r="171" spans="1:4" x14ac:dyDescent="0.2">
      <c r="A171" s="356"/>
      <c r="B171" s="346"/>
      <c r="C171" s="119" t="s">
        <v>15</v>
      </c>
      <c r="D171" s="25"/>
    </row>
    <row r="172" spans="1:4" x14ac:dyDescent="0.2">
      <c r="A172" s="356"/>
      <c r="B172" s="346"/>
      <c r="C172" s="119" t="s">
        <v>865</v>
      </c>
      <c r="D172" s="25"/>
    </row>
    <row r="173" spans="1:4" x14ac:dyDescent="0.2">
      <c r="A173" s="356"/>
      <c r="B173" s="346"/>
      <c r="C173" s="119" t="s">
        <v>866</v>
      </c>
      <c r="D173" s="25"/>
    </row>
    <row r="174" spans="1:4" x14ac:dyDescent="0.2">
      <c r="A174" s="356"/>
      <c r="B174" s="346"/>
      <c r="C174" s="119" t="s">
        <v>867</v>
      </c>
      <c r="D174" s="25"/>
    </row>
    <row r="175" spans="1:4" ht="15.75" thickBot="1" x14ac:dyDescent="0.25">
      <c r="A175" s="356"/>
      <c r="B175" s="347"/>
      <c r="C175" s="120" t="s">
        <v>868</v>
      </c>
      <c r="D175" s="28"/>
    </row>
    <row r="176" spans="1:4" x14ac:dyDescent="0.2">
      <c r="A176" s="356"/>
      <c r="B176" s="345" t="s">
        <v>877</v>
      </c>
      <c r="C176" s="118" t="s">
        <v>0</v>
      </c>
      <c r="D176" s="30" t="s">
        <v>900</v>
      </c>
    </row>
    <row r="177" spans="1:4" x14ac:dyDescent="0.2">
      <c r="A177" s="356"/>
      <c r="B177" s="346"/>
      <c r="C177" s="119" t="s">
        <v>863</v>
      </c>
      <c r="D177" s="25" t="s">
        <v>891</v>
      </c>
    </row>
    <row r="178" spans="1:4" x14ac:dyDescent="0.2">
      <c r="A178" s="356"/>
      <c r="B178" s="346"/>
      <c r="C178" s="119" t="s">
        <v>1</v>
      </c>
      <c r="D178" s="25" t="s">
        <v>891</v>
      </c>
    </row>
    <row r="179" spans="1:4" x14ac:dyDescent="0.2">
      <c r="A179" s="356"/>
      <c r="B179" s="346"/>
      <c r="C179" s="119" t="s">
        <v>864</v>
      </c>
      <c r="D179" s="25"/>
    </row>
    <row r="180" spans="1:4" x14ac:dyDescent="0.2">
      <c r="A180" s="356"/>
      <c r="B180" s="346"/>
      <c r="C180" s="119" t="s">
        <v>15</v>
      </c>
      <c r="D180" s="25"/>
    </row>
    <row r="181" spans="1:4" x14ac:dyDescent="0.2">
      <c r="A181" s="356"/>
      <c r="B181" s="346"/>
      <c r="C181" s="119" t="s">
        <v>865</v>
      </c>
      <c r="D181" s="25"/>
    </row>
    <row r="182" spans="1:4" x14ac:dyDescent="0.2">
      <c r="A182" s="356"/>
      <c r="B182" s="346"/>
      <c r="C182" s="119" t="s">
        <v>866</v>
      </c>
      <c r="D182" s="25"/>
    </row>
    <row r="183" spans="1:4" x14ac:dyDescent="0.2">
      <c r="A183" s="356"/>
      <c r="B183" s="346"/>
      <c r="C183" s="119" t="s">
        <v>867</v>
      </c>
      <c r="D183" s="25"/>
    </row>
    <row r="184" spans="1:4" ht="15.75" thickBot="1" x14ac:dyDescent="0.25">
      <c r="A184" s="356"/>
      <c r="B184" s="347"/>
      <c r="C184" s="120" t="s">
        <v>868</v>
      </c>
      <c r="D184" s="28"/>
    </row>
    <row r="185" spans="1:4" x14ac:dyDescent="0.2">
      <c r="A185" s="356"/>
      <c r="B185" s="345" t="s">
        <v>892</v>
      </c>
      <c r="C185" s="118" t="s">
        <v>0</v>
      </c>
      <c r="D185" s="30" t="s">
        <v>920</v>
      </c>
    </row>
    <row r="186" spans="1:4" x14ac:dyDescent="0.2">
      <c r="A186" s="356"/>
      <c r="B186" s="346"/>
      <c r="C186" s="119" t="s">
        <v>863</v>
      </c>
      <c r="D186" s="25" t="s">
        <v>896</v>
      </c>
    </row>
    <row r="187" spans="1:4" x14ac:dyDescent="0.2">
      <c r="A187" s="356"/>
      <c r="B187" s="346"/>
      <c r="C187" s="119" t="s">
        <v>1</v>
      </c>
      <c r="D187" s="25" t="s">
        <v>896</v>
      </c>
    </row>
    <row r="188" spans="1:4" x14ac:dyDescent="0.2">
      <c r="A188" s="356"/>
      <c r="B188" s="346"/>
      <c r="C188" s="119" t="s">
        <v>864</v>
      </c>
      <c r="D188" s="25"/>
    </row>
    <row r="189" spans="1:4" x14ac:dyDescent="0.2">
      <c r="A189" s="356"/>
      <c r="B189" s="346"/>
      <c r="C189" s="119" t="s">
        <v>15</v>
      </c>
      <c r="D189" s="25"/>
    </row>
    <row r="190" spans="1:4" x14ac:dyDescent="0.2">
      <c r="A190" s="356"/>
      <c r="B190" s="346"/>
      <c r="C190" s="119" t="s">
        <v>865</v>
      </c>
      <c r="D190" s="25"/>
    </row>
    <row r="191" spans="1:4" x14ac:dyDescent="0.2">
      <c r="A191" s="356"/>
      <c r="B191" s="346"/>
      <c r="C191" s="119" t="s">
        <v>866</v>
      </c>
      <c r="D191" s="25"/>
    </row>
    <row r="192" spans="1:4" x14ac:dyDescent="0.2">
      <c r="A192" s="356"/>
      <c r="B192" s="346"/>
      <c r="C192" s="119" t="s">
        <v>867</v>
      </c>
      <c r="D192" s="25"/>
    </row>
    <row r="193" spans="1:4" ht="15.75" thickBot="1" x14ac:dyDescent="0.25">
      <c r="A193" s="356"/>
      <c r="B193" s="347"/>
      <c r="C193" s="120" t="s">
        <v>868</v>
      </c>
      <c r="D193" s="28"/>
    </row>
    <row r="194" spans="1:4" x14ac:dyDescent="0.2">
      <c r="A194" s="356"/>
      <c r="B194" s="345" t="s">
        <v>893</v>
      </c>
      <c r="C194" s="118" t="s">
        <v>0</v>
      </c>
      <c r="D194" s="30" t="s">
        <v>920</v>
      </c>
    </row>
    <row r="195" spans="1:4" x14ac:dyDescent="0.2">
      <c r="A195" s="356"/>
      <c r="B195" s="346"/>
      <c r="C195" s="119" t="s">
        <v>863</v>
      </c>
      <c r="D195" s="25" t="s">
        <v>897</v>
      </c>
    </row>
    <row r="196" spans="1:4" x14ac:dyDescent="0.2">
      <c r="A196" s="356"/>
      <c r="B196" s="346"/>
      <c r="C196" s="119" t="s">
        <v>1</v>
      </c>
      <c r="D196" s="25" t="s">
        <v>897</v>
      </c>
    </row>
    <row r="197" spans="1:4" x14ac:dyDescent="0.2">
      <c r="A197" s="356"/>
      <c r="B197" s="346"/>
      <c r="C197" s="119" t="s">
        <v>864</v>
      </c>
      <c r="D197" s="25"/>
    </row>
    <row r="198" spans="1:4" x14ac:dyDescent="0.2">
      <c r="A198" s="356"/>
      <c r="B198" s="346"/>
      <c r="C198" s="119" t="s">
        <v>15</v>
      </c>
      <c r="D198" s="25"/>
    </row>
    <row r="199" spans="1:4" x14ac:dyDescent="0.2">
      <c r="A199" s="356"/>
      <c r="B199" s="346"/>
      <c r="C199" s="119" t="s">
        <v>865</v>
      </c>
      <c r="D199" s="25"/>
    </row>
    <row r="200" spans="1:4" x14ac:dyDescent="0.2">
      <c r="A200" s="356"/>
      <c r="B200" s="346"/>
      <c r="C200" s="119" t="s">
        <v>866</v>
      </c>
      <c r="D200" s="25"/>
    </row>
    <row r="201" spans="1:4" x14ac:dyDescent="0.2">
      <c r="A201" s="356"/>
      <c r="B201" s="346"/>
      <c r="C201" s="119" t="s">
        <v>867</v>
      </c>
      <c r="D201" s="25"/>
    </row>
    <row r="202" spans="1:4" ht="15.75" thickBot="1" x14ac:dyDescent="0.25">
      <c r="A202" s="356"/>
      <c r="B202" s="347"/>
      <c r="C202" s="120" t="s">
        <v>868</v>
      </c>
      <c r="D202" s="28"/>
    </row>
    <row r="203" spans="1:4" x14ac:dyDescent="0.2">
      <c r="A203" s="356"/>
      <c r="B203" s="345" t="s">
        <v>894</v>
      </c>
      <c r="C203" s="118" t="s">
        <v>0</v>
      </c>
      <c r="D203" s="30" t="s">
        <v>920</v>
      </c>
    </row>
    <row r="204" spans="1:4" x14ac:dyDescent="0.2">
      <c r="A204" s="356"/>
      <c r="B204" s="346"/>
      <c r="C204" s="119" t="s">
        <v>863</v>
      </c>
      <c r="D204" s="25" t="s">
        <v>898</v>
      </c>
    </row>
    <row r="205" spans="1:4" x14ac:dyDescent="0.2">
      <c r="A205" s="356"/>
      <c r="B205" s="346"/>
      <c r="C205" s="119" t="s">
        <v>1</v>
      </c>
      <c r="D205" s="25" t="s">
        <v>898</v>
      </c>
    </row>
    <row r="206" spans="1:4" x14ac:dyDescent="0.2">
      <c r="A206" s="356"/>
      <c r="B206" s="346"/>
      <c r="C206" s="119" t="s">
        <v>864</v>
      </c>
      <c r="D206" s="25"/>
    </row>
    <row r="207" spans="1:4" x14ac:dyDescent="0.2">
      <c r="A207" s="356"/>
      <c r="B207" s="346"/>
      <c r="C207" s="119" t="s">
        <v>15</v>
      </c>
      <c r="D207" s="25"/>
    </row>
    <row r="208" spans="1:4" x14ac:dyDescent="0.2">
      <c r="A208" s="356"/>
      <c r="B208" s="346"/>
      <c r="C208" s="119" t="s">
        <v>865</v>
      </c>
      <c r="D208" s="25"/>
    </row>
    <row r="209" spans="1:5" x14ac:dyDescent="0.2">
      <c r="A209" s="356"/>
      <c r="B209" s="346"/>
      <c r="C209" s="119" t="s">
        <v>866</v>
      </c>
      <c r="D209" s="25"/>
    </row>
    <row r="210" spans="1:5" x14ac:dyDescent="0.2">
      <c r="A210" s="356"/>
      <c r="B210" s="346"/>
      <c r="C210" s="119" t="s">
        <v>867</v>
      </c>
      <c r="D210" s="25"/>
    </row>
    <row r="211" spans="1:5" ht="15.75" thickBot="1" x14ac:dyDescent="0.25">
      <c r="A211" s="356"/>
      <c r="B211" s="347"/>
      <c r="C211" s="120" t="s">
        <v>868</v>
      </c>
      <c r="D211" s="28"/>
    </row>
    <row r="212" spans="1:5" x14ac:dyDescent="0.2">
      <c r="A212" s="356"/>
      <c r="B212" s="345" t="s">
        <v>895</v>
      </c>
      <c r="C212" s="118" t="s">
        <v>0</v>
      </c>
      <c r="D212" s="30" t="s">
        <v>920</v>
      </c>
    </row>
    <row r="213" spans="1:5" x14ac:dyDescent="0.2">
      <c r="A213" s="356"/>
      <c r="B213" s="346"/>
      <c r="C213" s="119" t="s">
        <v>863</v>
      </c>
      <c r="D213" s="25" t="s">
        <v>899</v>
      </c>
    </row>
    <row r="214" spans="1:5" x14ac:dyDescent="0.2">
      <c r="A214" s="356"/>
      <c r="B214" s="346"/>
      <c r="C214" s="119" t="s">
        <v>1</v>
      </c>
      <c r="D214" s="25" t="s">
        <v>899</v>
      </c>
    </row>
    <row r="215" spans="1:5" x14ac:dyDescent="0.2">
      <c r="A215" s="356"/>
      <c r="B215" s="346"/>
      <c r="C215" s="119" t="s">
        <v>864</v>
      </c>
      <c r="D215" s="25"/>
    </row>
    <row r="216" spans="1:5" x14ac:dyDescent="0.2">
      <c r="A216" s="356"/>
      <c r="B216" s="346"/>
      <c r="C216" s="119" t="s">
        <v>15</v>
      </c>
      <c r="D216" s="25"/>
    </row>
    <row r="217" spans="1:5" x14ac:dyDescent="0.2">
      <c r="A217" s="356"/>
      <c r="B217" s="346"/>
      <c r="C217" s="119" t="s">
        <v>865</v>
      </c>
      <c r="D217" s="25"/>
    </row>
    <row r="218" spans="1:5" x14ac:dyDescent="0.2">
      <c r="A218" s="356"/>
      <c r="B218" s="346"/>
      <c r="C218" s="119" t="s">
        <v>866</v>
      </c>
      <c r="D218" s="25"/>
    </row>
    <row r="219" spans="1:5" x14ac:dyDescent="0.2">
      <c r="A219" s="356"/>
      <c r="B219" s="346"/>
      <c r="C219" s="119" t="s">
        <v>867</v>
      </c>
      <c r="D219" s="25"/>
    </row>
    <row r="220" spans="1:5" ht="15.75" thickBot="1" x14ac:dyDescent="0.25">
      <c r="A220" s="356"/>
      <c r="B220" s="347"/>
      <c r="C220" s="120" t="s">
        <v>868</v>
      </c>
      <c r="D220" s="28"/>
    </row>
    <row r="221" spans="1:5" x14ac:dyDescent="0.2">
      <c r="A221" s="356"/>
      <c r="B221" s="352" t="s">
        <v>974</v>
      </c>
      <c r="C221" s="252" t="s">
        <v>0</v>
      </c>
      <c r="D221" s="253" t="s">
        <v>902</v>
      </c>
    </row>
    <row r="222" spans="1:5" x14ac:dyDescent="0.2">
      <c r="A222" s="356"/>
      <c r="B222" s="353"/>
      <c r="C222" s="254" t="s">
        <v>863</v>
      </c>
      <c r="D222" s="255" t="s">
        <v>903</v>
      </c>
    </row>
    <row r="223" spans="1:5" ht="15.75" thickBot="1" x14ac:dyDescent="0.25">
      <c r="A223" s="356"/>
      <c r="B223" s="353"/>
      <c r="C223" s="254" t="s">
        <v>1</v>
      </c>
      <c r="D223" s="255" t="s">
        <v>921</v>
      </c>
    </row>
    <row r="224" spans="1:5" x14ac:dyDescent="0.2">
      <c r="A224" s="356"/>
      <c r="B224" s="353"/>
      <c r="C224" s="254" t="s">
        <v>864</v>
      </c>
      <c r="D224" s="255"/>
      <c r="E224" s="30"/>
    </row>
    <row r="225" spans="1:4" x14ac:dyDescent="0.2">
      <c r="A225" s="356"/>
      <c r="B225" s="353"/>
      <c r="C225" s="254" t="s">
        <v>15</v>
      </c>
      <c r="D225" s="255"/>
    </row>
    <row r="226" spans="1:4" x14ac:dyDescent="0.2">
      <c r="A226" s="356"/>
      <c r="B226" s="353"/>
      <c r="C226" s="254" t="s">
        <v>865</v>
      </c>
      <c r="D226" s="255"/>
    </row>
    <row r="227" spans="1:4" x14ac:dyDescent="0.2">
      <c r="A227" s="356"/>
      <c r="B227" s="353"/>
      <c r="C227" s="254" t="s">
        <v>866</v>
      </c>
      <c r="D227" s="255"/>
    </row>
    <row r="228" spans="1:4" x14ac:dyDescent="0.2">
      <c r="A228" s="356"/>
      <c r="B228" s="353"/>
      <c r="C228" s="254" t="s">
        <v>867</v>
      </c>
      <c r="D228" s="255"/>
    </row>
    <row r="229" spans="1:4" ht="15.75" thickBot="1" x14ac:dyDescent="0.25">
      <c r="A229" s="356"/>
      <c r="B229" s="354"/>
      <c r="C229" s="256" t="s">
        <v>868</v>
      </c>
      <c r="D229" s="257"/>
    </row>
    <row r="230" spans="1:4" x14ac:dyDescent="0.2">
      <c r="A230" s="356"/>
      <c r="B230" s="352" t="s">
        <v>975</v>
      </c>
      <c r="C230" s="252" t="s">
        <v>0</v>
      </c>
      <c r="D230" s="253" t="s">
        <v>901</v>
      </c>
    </row>
    <row r="231" spans="1:4" x14ac:dyDescent="0.2">
      <c r="A231" s="356"/>
      <c r="B231" s="353"/>
      <c r="C231" s="254" t="s">
        <v>863</v>
      </c>
      <c r="D231" s="255" t="s">
        <v>904</v>
      </c>
    </row>
    <row r="232" spans="1:4" x14ac:dyDescent="0.2">
      <c r="A232" s="356"/>
      <c r="B232" s="353"/>
      <c r="C232" s="254" t="s">
        <v>1</v>
      </c>
      <c r="D232" s="255" t="s">
        <v>922</v>
      </c>
    </row>
    <row r="233" spans="1:4" x14ac:dyDescent="0.2">
      <c r="A233" s="356"/>
      <c r="B233" s="353"/>
      <c r="C233" s="254" t="s">
        <v>864</v>
      </c>
      <c r="D233" s="255"/>
    </row>
    <row r="234" spans="1:4" x14ac:dyDescent="0.2">
      <c r="A234" s="356"/>
      <c r="B234" s="353"/>
      <c r="C234" s="254" t="s">
        <v>15</v>
      </c>
      <c r="D234" s="255"/>
    </row>
    <row r="235" spans="1:4" x14ac:dyDescent="0.2">
      <c r="A235" s="356"/>
      <c r="B235" s="353"/>
      <c r="C235" s="254" t="s">
        <v>865</v>
      </c>
      <c r="D235" s="255"/>
    </row>
    <row r="236" spans="1:4" x14ac:dyDescent="0.2">
      <c r="A236" s="356"/>
      <c r="B236" s="353"/>
      <c r="C236" s="254" t="s">
        <v>866</v>
      </c>
      <c r="D236" s="255"/>
    </row>
    <row r="237" spans="1:4" x14ac:dyDescent="0.2">
      <c r="A237" s="356"/>
      <c r="B237" s="353"/>
      <c r="C237" s="254" t="s">
        <v>867</v>
      </c>
      <c r="D237" s="255"/>
    </row>
    <row r="238" spans="1:4" ht="15.75" thickBot="1" x14ac:dyDescent="0.25">
      <c r="A238" s="356"/>
      <c r="B238" s="354"/>
      <c r="C238" s="256" t="s">
        <v>868</v>
      </c>
      <c r="D238" s="257"/>
    </row>
    <row r="239" spans="1:4" x14ac:dyDescent="0.2">
      <c r="A239" s="356"/>
      <c r="B239" s="352" t="s">
        <v>976</v>
      </c>
      <c r="C239" s="252" t="s">
        <v>0</v>
      </c>
      <c r="D239" s="253" t="s">
        <v>909</v>
      </c>
    </row>
    <row r="240" spans="1:4" x14ac:dyDescent="0.2">
      <c r="A240" s="356"/>
      <c r="B240" s="353"/>
      <c r="C240" s="254" t="s">
        <v>863</v>
      </c>
      <c r="D240" s="255" t="s">
        <v>910</v>
      </c>
    </row>
    <row r="241" spans="1:4" x14ac:dyDescent="0.2">
      <c r="A241" s="356"/>
      <c r="B241" s="353"/>
      <c r="C241" s="254" t="s">
        <v>1</v>
      </c>
      <c r="D241" s="255" t="s">
        <v>923</v>
      </c>
    </row>
    <row r="242" spans="1:4" x14ac:dyDescent="0.2">
      <c r="A242" s="356"/>
      <c r="B242" s="353"/>
      <c r="C242" s="254" t="s">
        <v>864</v>
      </c>
      <c r="D242" s="255"/>
    </row>
    <row r="243" spans="1:4" x14ac:dyDescent="0.2">
      <c r="A243" s="356"/>
      <c r="B243" s="353"/>
      <c r="C243" s="254" t="s">
        <v>15</v>
      </c>
      <c r="D243" s="255"/>
    </row>
    <row r="244" spans="1:4" x14ac:dyDescent="0.2">
      <c r="A244" s="356"/>
      <c r="B244" s="353"/>
      <c r="C244" s="254" t="s">
        <v>865</v>
      </c>
      <c r="D244" s="255"/>
    </row>
    <row r="245" spans="1:4" x14ac:dyDescent="0.2">
      <c r="A245" s="356"/>
      <c r="B245" s="353"/>
      <c r="C245" s="254" t="s">
        <v>866</v>
      </c>
      <c r="D245" s="255"/>
    </row>
    <row r="246" spans="1:4" x14ac:dyDescent="0.2">
      <c r="A246" s="356"/>
      <c r="B246" s="353"/>
      <c r="C246" s="254" t="s">
        <v>867</v>
      </c>
      <c r="D246" s="255"/>
    </row>
    <row r="247" spans="1:4" ht="15.75" thickBot="1" x14ac:dyDescent="0.25">
      <c r="A247" s="356"/>
      <c r="B247" s="354"/>
      <c r="C247" s="256" t="s">
        <v>868</v>
      </c>
      <c r="D247" s="257"/>
    </row>
    <row r="248" spans="1:4" x14ac:dyDescent="0.2">
      <c r="A248" s="356"/>
      <c r="B248" s="352" t="s">
        <v>977</v>
      </c>
      <c r="C248" s="252" t="s">
        <v>0</v>
      </c>
      <c r="D248" s="253" t="s">
        <v>909</v>
      </c>
    </row>
    <row r="249" spans="1:4" x14ac:dyDescent="0.2">
      <c r="A249" s="356"/>
      <c r="B249" s="353"/>
      <c r="C249" s="254" t="s">
        <v>863</v>
      </c>
      <c r="D249" s="255" t="s">
        <v>911</v>
      </c>
    </row>
    <row r="250" spans="1:4" x14ac:dyDescent="0.2">
      <c r="A250" s="356"/>
      <c r="B250" s="353"/>
      <c r="C250" s="254" t="s">
        <v>1</v>
      </c>
      <c r="D250" s="255" t="s">
        <v>924</v>
      </c>
    </row>
    <row r="251" spans="1:4" x14ac:dyDescent="0.2">
      <c r="A251" s="356"/>
      <c r="B251" s="353"/>
      <c r="C251" s="254" t="s">
        <v>864</v>
      </c>
      <c r="D251" s="255"/>
    </row>
    <row r="252" spans="1:4" x14ac:dyDescent="0.2">
      <c r="A252" s="356"/>
      <c r="B252" s="353"/>
      <c r="C252" s="254" t="s">
        <v>15</v>
      </c>
      <c r="D252" s="255"/>
    </row>
    <row r="253" spans="1:4" x14ac:dyDescent="0.2">
      <c r="A253" s="356"/>
      <c r="B253" s="353"/>
      <c r="C253" s="254" t="s">
        <v>865</v>
      </c>
      <c r="D253" s="255"/>
    </row>
    <row r="254" spans="1:4" x14ac:dyDescent="0.2">
      <c r="A254" s="356"/>
      <c r="B254" s="353"/>
      <c r="C254" s="254" t="s">
        <v>866</v>
      </c>
      <c r="D254" s="255"/>
    </row>
    <row r="255" spans="1:4" x14ac:dyDescent="0.2">
      <c r="A255" s="356"/>
      <c r="B255" s="353"/>
      <c r="C255" s="254" t="s">
        <v>867</v>
      </c>
      <c r="D255" s="255"/>
    </row>
    <row r="256" spans="1:4" ht="15.75" thickBot="1" x14ac:dyDescent="0.25">
      <c r="A256" s="356"/>
      <c r="B256" s="354"/>
      <c r="C256" s="256" t="s">
        <v>868</v>
      </c>
      <c r="D256" s="257"/>
    </row>
    <row r="257" spans="1:4" x14ac:dyDescent="0.2">
      <c r="A257" s="356"/>
      <c r="B257" s="352" t="s">
        <v>978</v>
      </c>
      <c r="C257" s="252" t="s">
        <v>0</v>
      </c>
      <c r="D257" s="253" t="s">
        <v>909</v>
      </c>
    </row>
    <row r="258" spans="1:4" x14ac:dyDescent="0.2">
      <c r="A258" s="356"/>
      <c r="B258" s="353"/>
      <c r="C258" s="254" t="s">
        <v>863</v>
      </c>
      <c r="D258" s="255" t="s">
        <v>912</v>
      </c>
    </row>
    <row r="259" spans="1:4" x14ac:dyDescent="0.2">
      <c r="A259" s="356"/>
      <c r="B259" s="353"/>
      <c r="C259" s="254" t="s">
        <v>1</v>
      </c>
      <c r="D259" s="255" t="s">
        <v>925</v>
      </c>
    </row>
    <row r="260" spans="1:4" x14ac:dyDescent="0.2">
      <c r="A260" s="356"/>
      <c r="B260" s="353"/>
      <c r="C260" s="254" t="s">
        <v>864</v>
      </c>
      <c r="D260" s="255"/>
    </row>
    <row r="261" spans="1:4" x14ac:dyDescent="0.2">
      <c r="A261" s="356"/>
      <c r="B261" s="353"/>
      <c r="C261" s="254" t="s">
        <v>15</v>
      </c>
      <c r="D261" s="255"/>
    </row>
    <row r="262" spans="1:4" x14ac:dyDescent="0.2">
      <c r="A262" s="356"/>
      <c r="B262" s="353"/>
      <c r="C262" s="254" t="s">
        <v>865</v>
      </c>
      <c r="D262" s="255"/>
    </row>
    <row r="263" spans="1:4" x14ac:dyDescent="0.2">
      <c r="A263" s="356"/>
      <c r="B263" s="353"/>
      <c r="C263" s="254" t="s">
        <v>866</v>
      </c>
      <c r="D263" s="255"/>
    </row>
    <row r="264" spans="1:4" x14ac:dyDescent="0.2">
      <c r="A264" s="356"/>
      <c r="B264" s="353"/>
      <c r="C264" s="254" t="s">
        <v>867</v>
      </c>
      <c r="D264" s="255"/>
    </row>
    <row r="265" spans="1:4" ht="15.75" thickBot="1" x14ac:dyDescent="0.25">
      <c r="A265" s="356"/>
      <c r="B265" s="354"/>
      <c r="C265" s="256" t="s">
        <v>868</v>
      </c>
      <c r="D265" s="257"/>
    </row>
    <row r="266" spans="1:4" x14ac:dyDescent="0.2">
      <c r="A266" s="356"/>
      <c r="B266" s="345" t="s">
        <v>905</v>
      </c>
      <c r="C266" s="118" t="s">
        <v>0</v>
      </c>
      <c r="D266" s="30" t="s">
        <v>909</v>
      </c>
    </row>
    <row r="267" spans="1:4" x14ac:dyDescent="0.2">
      <c r="A267" s="356"/>
      <c r="B267" s="346"/>
      <c r="C267" s="119" t="s">
        <v>863</v>
      </c>
      <c r="D267" s="25" t="s">
        <v>913</v>
      </c>
    </row>
    <row r="268" spans="1:4" x14ac:dyDescent="0.2">
      <c r="A268" s="356"/>
      <c r="B268" s="346"/>
      <c r="C268" s="119" t="s">
        <v>1</v>
      </c>
      <c r="D268" s="25" t="s">
        <v>913</v>
      </c>
    </row>
    <row r="269" spans="1:4" x14ac:dyDescent="0.2">
      <c r="A269" s="356"/>
      <c r="B269" s="346"/>
      <c r="C269" s="119" t="s">
        <v>864</v>
      </c>
      <c r="D269" s="25"/>
    </row>
    <row r="270" spans="1:4" x14ac:dyDescent="0.2">
      <c r="A270" s="356"/>
      <c r="B270" s="346"/>
      <c r="C270" s="119" t="s">
        <v>15</v>
      </c>
      <c r="D270" s="25"/>
    </row>
    <row r="271" spans="1:4" x14ac:dyDescent="0.2">
      <c r="A271" s="356"/>
      <c r="B271" s="346"/>
      <c r="C271" s="119" t="s">
        <v>865</v>
      </c>
      <c r="D271" s="25"/>
    </row>
    <row r="272" spans="1:4" x14ac:dyDescent="0.2">
      <c r="A272" s="356"/>
      <c r="B272" s="346"/>
      <c r="C272" s="119" t="s">
        <v>866</v>
      </c>
      <c r="D272" s="25"/>
    </row>
    <row r="273" spans="1:4" x14ac:dyDescent="0.2">
      <c r="A273" s="356"/>
      <c r="B273" s="346"/>
      <c r="C273" s="119" t="s">
        <v>867</v>
      </c>
      <c r="D273" s="25"/>
    </row>
    <row r="274" spans="1:4" ht="15.75" thickBot="1" x14ac:dyDescent="0.25">
      <c r="A274" s="356"/>
      <c r="B274" s="347"/>
      <c r="C274" s="120" t="s">
        <v>868</v>
      </c>
      <c r="D274" s="28"/>
    </row>
    <row r="275" spans="1:4" x14ac:dyDescent="0.2">
      <c r="A275" s="356"/>
      <c r="B275" s="345" t="s">
        <v>906</v>
      </c>
      <c r="C275" s="118" t="s">
        <v>0</v>
      </c>
      <c r="D275" s="30" t="s">
        <v>914</v>
      </c>
    </row>
    <row r="276" spans="1:4" x14ac:dyDescent="0.2">
      <c r="A276" s="356"/>
      <c r="B276" s="346"/>
      <c r="C276" s="119" t="s">
        <v>863</v>
      </c>
      <c r="D276" s="25" t="s">
        <v>915</v>
      </c>
    </row>
    <row r="277" spans="1:4" x14ac:dyDescent="0.2">
      <c r="A277" s="356"/>
      <c r="B277" s="346"/>
      <c r="C277" s="119" t="s">
        <v>1</v>
      </c>
      <c r="D277" s="25" t="s">
        <v>915</v>
      </c>
    </row>
    <row r="278" spans="1:4" x14ac:dyDescent="0.2">
      <c r="A278" s="356"/>
      <c r="B278" s="346"/>
      <c r="C278" s="119" t="s">
        <v>864</v>
      </c>
      <c r="D278" s="25"/>
    </row>
    <row r="279" spans="1:4" x14ac:dyDescent="0.2">
      <c r="A279" s="356"/>
      <c r="B279" s="346"/>
      <c r="C279" s="119" t="s">
        <v>15</v>
      </c>
      <c r="D279" s="25"/>
    </row>
    <row r="280" spans="1:4" x14ac:dyDescent="0.2">
      <c r="A280" s="356"/>
      <c r="B280" s="346"/>
      <c r="C280" s="119" t="s">
        <v>865</v>
      </c>
      <c r="D280" s="25"/>
    </row>
    <row r="281" spans="1:4" x14ac:dyDescent="0.2">
      <c r="A281" s="356"/>
      <c r="B281" s="346"/>
      <c r="C281" s="119" t="s">
        <v>866</v>
      </c>
      <c r="D281" s="25"/>
    </row>
    <row r="282" spans="1:4" x14ac:dyDescent="0.2">
      <c r="A282" s="356"/>
      <c r="B282" s="346"/>
      <c r="C282" s="119" t="s">
        <v>867</v>
      </c>
      <c r="D282" s="25"/>
    </row>
    <row r="283" spans="1:4" ht="15.75" thickBot="1" x14ac:dyDescent="0.25">
      <c r="A283" s="356"/>
      <c r="B283" s="347"/>
      <c r="C283" s="120" t="s">
        <v>868</v>
      </c>
      <c r="D283" s="28"/>
    </row>
    <row r="284" spans="1:4" x14ac:dyDescent="0.2">
      <c r="A284" s="356"/>
      <c r="B284" s="345" t="s">
        <v>907</v>
      </c>
      <c r="C284" s="118" t="s">
        <v>0</v>
      </c>
      <c r="D284" s="30" t="s">
        <v>914</v>
      </c>
    </row>
    <row r="285" spans="1:4" x14ac:dyDescent="0.2">
      <c r="A285" s="356"/>
      <c r="B285" s="346"/>
      <c r="C285" s="119" t="s">
        <v>863</v>
      </c>
      <c r="D285" s="25" t="s">
        <v>916</v>
      </c>
    </row>
    <row r="286" spans="1:4" x14ac:dyDescent="0.2">
      <c r="A286" s="356"/>
      <c r="B286" s="346"/>
      <c r="C286" s="119" t="s">
        <v>1</v>
      </c>
      <c r="D286" s="25" t="s">
        <v>916</v>
      </c>
    </row>
    <row r="287" spans="1:4" x14ac:dyDescent="0.2">
      <c r="A287" s="356"/>
      <c r="B287" s="346"/>
      <c r="C287" s="119" t="s">
        <v>864</v>
      </c>
      <c r="D287" s="25"/>
    </row>
    <row r="288" spans="1:4" x14ac:dyDescent="0.2">
      <c r="A288" s="356"/>
      <c r="B288" s="346"/>
      <c r="C288" s="119" t="s">
        <v>15</v>
      </c>
      <c r="D288" s="25"/>
    </row>
    <row r="289" spans="1:4" x14ac:dyDescent="0.2">
      <c r="A289" s="356"/>
      <c r="B289" s="346"/>
      <c r="C289" s="119" t="s">
        <v>865</v>
      </c>
      <c r="D289" s="25"/>
    </row>
    <row r="290" spans="1:4" x14ac:dyDescent="0.2">
      <c r="A290" s="356"/>
      <c r="B290" s="346"/>
      <c r="C290" s="119" t="s">
        <v>866</v>
      </c>
      <c r="D290" s="25"/>
    </row>
    <row r="291" spans="1:4" x14ac:dyDescent="0.2">
      <c r="A291" s="356"/>
      <c r="B291" s="346"/>
      <c r="C291" s="119" t="s">
        <v>867</v>
      </c>
      <c r="D291" s="25"/>
    </row>
    <row r="292" spans="1:4" ht="15.75" thickBot="1" x14ac:dyDescent="0.25">
      <c r="A292" s="356"/>
      <c r="B292" s="347"/>
      <c r="C292" s="120" t="s">
        <v>868</v>
      </c>
      <c r="D292" s="28"/>
    </row>
    <row r="293" spans="1:4" x14ac:dyDescent="0.2">
      <c r="A293" s="356"/>
      <c r="B293" s="345" t="s">
        <v>908</v>
      </c>
      <c r="C293" s="118" t="s">
        <v>0</v>
      </c>
      <c r="D293" s="30" t="s">
        <v>914</v>
      </c>
    </row>
    <row r="294" spans="1:4" x14ac:dyDescent="0.2">
      <c r="A294" s="356"/>
      <c r="B294" s="346"/>
      <c r="C294" s="119" t="s">
        <v>863</v>
      </c>
      <c r="D294" s="25" t="s">
        <v>917</v>
      </c>
    </row>
    <row r="295" spans="1:4" x14ac:dyDescent="0.2">
      <c r="A295" s="356"/>
      <c r="B295" s="346"/>
      <c r="C295" s="119" t="s">
        <v>1</v>
      </c>
      <c r="D295" s="25" t="s">
        <v>917</v>
      </c>
    </row>
    <row r="296" spans="1:4" x14ac:dyDescent="0.2">
      <c r="A296" s="356"/>
      <c r="B296" s="346"/>
      <c r="C296" s="119" t="s">
        <v>864</v>
      </c>
      <c r="D296" s="25"/>
    </row>
    <row r="297" spans="1:4" x14ac:dyDescent="0.2">
      <c r="A297" s="356"/>
      <c r="B297" s="346"/>
      <c r="C297" s="119" t="s">
        <v>15</v>
      </c>
      <c r="D297" s="25"/>
    </row>
    <row r="298" spans="1:4" x14ac:dyDescent="0.2">
      <c r="A298" s="356"/>
      <c r="B298" s="346"/>
      <c r="C298" s="119" t="s">
        <v>865</v>
      </c>
      <c r="D298" s="25"/>
    </row>
    <row r="299" spans="1:4" x14ac:dyDescent="0.2">
      <c r="A299" s="356"/>
      <c r="B299" s="346"/>
      <c r="C299" s="119" t="s">
        <v>866</v>
      </c>
      <c r="D299" s="25"/>
    </row>
    <row r="300" spans="1:4" x14ac:dyDescent="0.2">
      <c r="A300" s="356"/>
      <c r="B300" s="346"/>
      <c r="C300" s="119" t="s">
        <v>867</v>
      </c>
      <c r="D300" s="25"/>
    </row>
    <row r="301" spans="1:4" ht="15.75" thickBot="1" x14ac:dyDescent="0.25">
      <c r="A301" s="356"/>
      <c r="B301" s="347"/>
      <c r="C301" s="120" t="s">
        <v>868</v>
      </c>
      <c r="D301" s="28"/>
    </row>
    <row r="302" spans="1:4" x14ac:dyDescent="0.2">
      <c r="A302" s="356"/>
      <c r="B302" s="352" t="s">
        <v>979</v>
      </c>
      <c r="C302" s="252" t="s">
        <v>0</v>
      </c>
      <c r="D302" s="253" t="s">
        <v>914</v>
      </c>
    </row>
    <row r="303" spans="1:4" x14ac:dyDescent="0.2">
      <c r="A303" s="356"/>
      <c r="B303" s="353"/>
      <c r="C303" s="254" t="s">
        <v>863</v>
      </c>
      <c r="D303" s="255" t="s">
        <v>918</v>
      </c>
    </row>
    <row r="304" spans="1:4" x14ac:dyDescent="0.2">
      <c r="A304" s="356"/>
      <c r="B304" s="353"/>
      <c r="C304" s="254" t="s">
        <v>1</v>
      </c>
      <c r="D304" s="255" t="s">
        <v>919</v>
      </c>
    </row>
    <row r="305" spans="1:4" x14ac:dyDescent="0.2">
      <c r="A305" s="356"/>
      <c r="B305" s="353"/>
      <c r="C305" s="254" t="s">
        <v>864</v>
      </c>
      <c r="D305" s="255"/>
    </row>
    <row r="306" spans="1:4" x14ac:dyDescent="0.2">
      <c r="A306" s="356"/>
      <c r="B306" s="353"/>
      <c r="C306" s="254" t="s">
        <v>15</v>
      </c>
      <c r="D306" s="255"/>
    </row>
    <row r="307" spans="1:4" x14ac:dyDescent="0.2">
      <c r="A307" s="356"/>
      <c r="B307" s="353"/>
      <c r="C307" s="254" t="s">
        <v>865</v>
      </c>
      <c r="D307" s="255"/>
    </row>
    <row r="308" spans="1:4" x14ac:dyDescent="0.2">
      <c r="A308" s="356"/>
      <c r="B308" s="353"/>
      <c r="C308" s="254" t="s">
        <v>866</v>
      </c>
      <c r="D308" s="255"/>
    </row>
    <row r="309" spans="1:4" x14ac:dyDescent="0.2">
      <c r="A309" s="356"/>
      <c r="B309" s="353"/>
      <c r="C309" s="254" t="s">
        <v>867</v>
      </c>
      <c r="D309" s="255"/>
    </row>
    <row r="310" spans="1:4" ht="15.75" thickBot="1" x14ac:dyDescent="0.25">
      <c r="A310" s="357"/>
      <c r="B310" s="354"/>
      <c r="C310" s="256" t="s">
        <v>868</v>
      </c>
      <c r="D310" s="257"/>
    </row>
  </sheetData>
  <mergeCells count="60">
    <mergeCell ref="B185:B193"/>
    <mergeCell ref="B194:B202"/>
    <mergeCell ref="B203:B211"/>
    <mergeCell ref="B212:B220"/>
    <mergeCell ref="B221:B229"/>
    <mergeCell ref="B230:B238"/>
    <mergeCell ref="B239:B247"/>
    <mergeCell ref="B248:B256"/>
    <mergeCell ref="B257:B265"/>
    <mergeCell ref="B266:B274"/>
    <mergeCell ref="B275:B283"/>
    <mergeCell ref="B284:B292"/>
    <mergeCell ref="B293:B301"/>
    <mergeCell ref="B302:B310"/>
    <mergeCell ref="A41:A310"/>
    <mergeCell ref="B167:B175"/>
    <mergeCell ref="B176:B184"/>
    <mergeCell ref="B122:B130"/>
    <mergeCell ref="B131:B139"/>
    <mergeCell ref="B140:B148"/>
    <mergeCell ref="B149:B157"/>
    <mergeCell ref="B158:B166"/>
    <mergeCell ref="B77:B85"/>
    <mergeCell ref="B86:B94"/>
    <mergeCell ref="B95:B103"/>
    <mergeCell ref="B104:B112"/>
    <mergeCell ref="B113:B121"/>
    <mergeCell ref="B50:B58"/>
    <mergeCell ref="B59:B67"/>
    <mergeCell ref="B68:B76"/>
    <mergeCell ref="A4:A6"/>
    <mergeCell ref="B8:C8"/>
    <mergeCell ref="B9:C9"/>
    <mergeCell ref="B10:C10"/>
    <mergeCell ref="B11:C11"/>
    <mergeCell ref="A8:A33"/>
    <mergeCell ref="B16:B18"/>
    <mergeCell ref="B19:B21"/>
    <mergeCell ref="B28:C28"/>
    <mergeCell ref="B29:C29"/>
    <mergeCell ref="B30:C30"/>
    <mergeCell ref="B31:C31"/>
    <mergeCell ref="B23:C23"/>
    <mergeCell ref="B24:C24"/>
    <mergeCell ref="B25:C25"/>
    <mergeCell ref="B26:C26"/>
    <mergeCell ref="B27:C27"/>
    <mergeCell ref="B12:C12"/>
    <mergeCell ref="B13:C13"/>
    <mergeCell ref="B14:C14"/>
    <mergeCell ref="B15:C15"/>
    <mergeCell ref="B22:C22"/>
    <mergeCell ref="B38:C38"/>
    <mergeCell ref="B41:B49"/>
    <mergeCell ref="B32:C32"/>
    <mergeCell ref="B33:C33"/>
    <mergeCell ref="A35:A38"/>
    <mergeCell ref="B35:C35"/>
    <mergeCell ref="B36:C36"/>
    <mergeCell ref="B37:C37"/>
  </mergeCells>
  <pageMargins left="0.75" right="0.75" top="1" bottom="1" header="0.5" footer="0.5"/>
  <pageSetup paperSize="9" orientation="portrait" horizontalDpi="300" verticalDpi="300"/>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I109"/>
  <sheetViews>
    <sheetView topLeftCell="A73" zoomScale="90" zoomScaleNormal="90" workbookViewId="0">
      <selection activeCell="H71" sqref="H71"/>
    </sheetView>
  </sheetViews>
  <sheetFormatPr defaultRowHeight="15" x14ac:dyDescent="0.2"/>
  <cols>
    <col min="1" max="1" width="18.85546875" style="18" customWidth="1"/>
    <col min="2" max="2" width="18" style="18" bestFit="1" customWidth="1"/>
    <col min="3" max="3" width="29.85546875" style="18" bestFit="1" customWidth="1"/>
    <col min="4" max="4" width="34" style="18" bestFit="1" customWidth="1"/>
    <col min="5" max="5" width="19" style="18" bestFit="1" customWidth="1"/>
    <col min="6" max="6" width="12.42578125" style="18" customWidth="1"/>
    <col min="7" max="7" width="9.140625" style="26"/>
    <col min="8" max="9" width="9.140625" style="18"/>
  </cols>
  <sheetData>
    <row r="3" spans="1:9" s="11" customFormat="1" x14ac:dyDescent="0.2">
      <c r="A3" s="344" t="s">
        <v>194</v>
      </c>
      <c r="B3" s="344" t="s">
        <v>292</v>
      </c>
      <c r="C3" s="344" t="s">
        <v>293</v>
      </c>
      <c r="D3" s="344" t="s">
        <v>294</v>
      </c>
      <c r="E3" s="344" t="s">
        <v>295</v>
      </c>
      <c r="F3" s="344"/>
      <c r="G3" s="46" t="s">
        <v>585</v>
      </c>
      <c r="H3" s="18"/>
      <c r="I3" s="18"/>
    </row>
    <row r="4" spans="1:9" s="11" customFormat="1" x14ac:dyDescent="0.2">
      <c r="A4" s="351"/>
      <c r="B4" s="351"/>
      <c r="C4" s="351"/>
      <c r="D4" s="351"/>
      <c r="E4" s="344" t="s">
        <v>296</v>
      </c>
      <c r="F4" s="344"/>
      <c r="G4" s="46" t="s">
        <v>585</v>
      </c>
      <c r="H4" s="18"/>
      <c r="I4" s="18" t="s">
        <v>586</v>
      </c>
    </row>
    <row r="5" spans="1:9" s="11" customFormat="1" x14ac:dyDescent="0.2">
      <c r="A5" s="351"/>
      <c r="B5" s="351"/>
      <c r="C5" s="351"/>
      <c r="D5" s="351"/>
      <c r="E5" s="344" t="s">
        <v>297</v>
      </c>
      <c r="F5" s="344"/>
      <c r="G5" s="44" t="s">
        <v>202</v>
      </c>
      <c r="H5" s="18"/>
      <c r="I5" s="18" t="s">
        <v>587</v>
      </c>
    </row>
    <row r="6" spans="1:9" s="11" customFormat="1" x14ac:dyDescent="0.2">
      <c r="A6" s="351"/>
      <c r="B6" s="351"/>
      <c r="C6" s="351"/>
      <c r="D6" s="351"/>
      <c r="E6" s="344" t="s">
        <v>298</v>
      </c>
      <c r="F6" s="344"/>
      <c r="G6" s="46" t="s">
        <v>585</v>
      </c>
      <c r="H6" s="18"/>
      <c r="I6" s="18"/>
    </row>
    <row r="7" spans="1:9" s="11" customFormat="1" x14ac:dyDescent="0.2">
      <c r="A7" s="351"/>
      <c r="B7" s="351"/>
      <c r="C7" s="351"/>
      <c r="D7" s="351"/>
      <c r="E7" s="344" t="s">
        <v>299</v>
      </c>
      <c r="F7" s="344"/>
      <c r="G7" s="46" t="s">
        <v>585</v>
      </c>
      <c r="H7" s="18"/>
      <c r="I7" s="18"/>
    </row>
    <row r="8" spans="1:9" s="11" customFormat="1" x14ac:dyDescent="0.2">
      <c r="A8" s="351"/>
      <c r="B8" s="351"/>
      <c r="C8" s="351"/>
      <c r="D8" s="362" t="s">
        <v>588</v>
      </c>
      <c r="E8" s="358">
        <v>1</v>
      </c>
      <c r="F8" s="359"/>
      <c r="G8" s="44">
        <v>3</v>
      </c>
      <c r="H8" s="18"/>
      <c r="I8" s="18"/>
    </row>
    <row r="9" spans="1:9" s="37" customFormat="1" x14ac:dyDescent="0.2">
      <c r="A9" s="351"/>
      <c r="B9" s="351"/>
      <c r="C9" s="351"/>
      <c r="D9" s="363"/>
      <c r="E9" s="358">
        <v>2</v>
      </c>
      <c r="F9" s="359"/>
      <c r="G9" s="44">
        <v>6</v>
      </c>
      <c r="H9" s="18"/>
      <c r="I9" s="18"/>
    </row>
    <row r="10" spans="1:9" s="11" customFormat="1" x14ac:dyDescent="0.2">
      <c r="A10" s="351"/>
      <c r="B10" s="351"/>
      <c r="C10" s="351"/>
      <c r="D10" s="364"/>
      <c r="E10" s="358">
        <v>3</v>
      </c>
      <c r="F10" s="359"/>
      <c r="G10" s="44">
        <v>9</v>
      </c>
      <c r="H10" s="18"/>
      <c r="I10" s="18"/>
    </row>
    <row r="11" spans="1:9" s="11" customFormat="1" x14ac:dyDescent="0.2">
      <c r="A11" s="351"/>
      <c r="B11" s="351"/>
      <c r="C11" s="344" t="s">
        <v>301</v>
      </c>
      <c r="D11" s="344" t="s">
        <v>302</v>
      </c>
      <c r="E11" s="344"/>
      <c r="F11" s="344"/>
      <c r="G11" s="44" t="s">
        <v>202</v>
      </c>
      <c r="H11" s="18"/>
      <c r="I11" s="18"/>
    </row>
    <row r="12" spans="1:9" s="11" customFormat="1" x14ac:dyDescent="0.2">
      <c r="A12" s="351"/>
      <c r="B12" s="351"/>
      <c r="C12" s="351"/>
      <c r="D12" s="344" t="s">
        <v>303</v>
      </c>
      <c r="E12" s="344"/>
      <c r="F12" s="344"/>
      <c r="G12" s="44" t="s">
        <v>276</v>
      </c>
      <c r="H12" s="18"/>
      <c r="I12" s="18"/>
    </row>
    <row r="13" spans="1:9" s="11" customFormat="1" x14ac:dyDescent="0.2">
      <c r="A13" s="351"/>
      <c r="B13" s="351"/>
      <c r="C13" s="351"/>
      <c r="D13" s="344" t="s">
        <v>304</v>
      </c>
      <c r="E13" s="344"/>
      <c r="F13" s="344"/>
      <c r="G13" s="44" t="s">
        <v>276</v>
      </c>
      <c r="H13" s="18"/>
      <c r="I13" s="18"/>
    </row>
    <row r="14" spans="1:9" s="11" customFormat="1" x14ac:dyDescent="0.2">
      <c r="A14" s="351"/>
      <c r="B14" s="351"/>
      <c r="C14" s="351"/>
      <c r="D14" s="344" t="s">
        <v>305</v>
      </c>
      <c r="E14" s="344"/>
      <c r="F14" s="344"/>
      <c r="G14" s="46" t="s">
        <v>585</v>
      </c>
      <c r="H14" s="18"/>
      <c r="I14" s="18"/>
    </row>
    <row r="15" spans="1:9" s="11" customFormat="1" x14ac:dyDescent="0.2">
      <c r="A15" s="351"/>
      <c r="B15" s="351"/>
      <c r="C15" s="344" t="s">
        <v>306</v>
      </c>
      <c r="D15" s="344" t="s">
        <v>294</v>
      </c>
      <c r="E15" s="344" t="s">
        <v>295</v>
      </c>
      <c r="F15" s="344"/>
      <c r="G15" s="46" t="s">
        <v>585</v>
      </c>
      <c r="H15" s="18"/>
      <c r="I15" s="18"/>
    </row>
    <row r="16" spans="1:9" s="11" customFormat="1" x14ac:dyDescent="0.2">
      <c r="A16" s="351"/>
      <c r="B16" s="351"/>
      <c r="C16" s="351"/>
      <c r="D16" s="351"/>
      <c r="E16" s="344" t="s">
        <v>296</v>
      </c>
      <c r="F16" s="344"/>
      <c r="G16" s="46" t="s">
        <v>585</v>
      </c>
      <c r="H16" s="18"/>
      <c r="I16" s="18"/>
    </row>
    <row r="17" spans="1:9" s="11" customFormat="1" x14ac:dyDescent="0.2">
      <c r="A17" s="351"/>
      <c r="B17" s="351"/>
      <c r="C17" s="351"/>
      <c r="D17" s="351"/>
      <c r="E17" s="344" t="s">
        <v>297</v>
      </c>
      <c r="F17" s="344"/>
      <c r="G17" s="46" t="s">
        <v>585</v>
      </c>
      <c r="H17" s="18"/>
      <c r="I17" s="18"/>
    </row>
    <row r="18" spans="1:9" s="11" customFormat="1" x14ac:dyDescent="0.2">
      <c r="A18" s="351"/>
      <c r="B18" s="351"/>
      <c r="C18" s="351"/>
      <c r="D18" s="351"/>
      <c r="E18" s="344" t="s">
        <v>298</v>
      </c>
      <c r="F18" s="344"/>
      <c r="G18" s="46" t="s">
        <v>585</v>
      </c>
      <c r="H18" s="18"/>
      <c r="I18" s="18"/>
    </row>
    <row r="19" spans="1:9" s="11" customFormat="1" x14ac:dyDescent="0.2">
      <c r="A19" s="351"/>
      <c r="B19" s="351"/>
      <c r="C19" s="351"/>
      <c r="D19" s="351"/>
      <c r="E19" s="344" t="s">
        <v>299</v>
      </c>
      <c r="F19" s="344"/>
      <c r="G19" s="46" t="s">
        <v>585</v>
      </c>
      <c r="H19" s="18"/>
      <c r="I19" s="18"/>
    </row>
    <row r="20" spans="1:9" s="11" customFormat="1" x14ac:dyDescent="0.2">
      <c r="A20" s="351"/>
      <c r="B20" s="351"/>
      <c r="C20" s="351"/>
      <c r="D20" s="344" t="s">
        <v>155</v>
      </c>
      <c r="E20" s="344" t="s">
        <v>300</v>
      </c>
      <c r="F20" s="344"/>
      <c r="G20" s="46" t="s">
        <v>585</v>
      </c>
      <c r="H20" s="18"/>
      <c r="I20" s="18"/>
    </row>
    <row r="21" spans="1:9" s="11" customFormat="1" x14ac:dyDescent="0.2">
      <c r="A21" s="351"/>
      <c r="B21" s="351"/>
      <c r="C21" s="351"/>
      <c r="D21" s="351"/>
      <c r="E21" s="344" t="s">
        <v>307</v>
      </c>
      <c r="F21" s="344"/>
      <c r="G21" s="46" t="s">
        <v>585</v>
      </c>
      <c r="H21" s="18"/>
      <c r="I21" s="18"/>
    </row>
    <row r="22" spans="1:9" s="11" customFormat="1" x14ac:dyDescent="0.2">
      <c r="A22" s="351"/>
      <c r="B22" s="351"/>
      <c r="C22" s="344" t="s">
        <v>308</v>
      </c>
      <c r="D22" s="344" t="s">
        <v>309</v>
      </c>
      <c r="E22" s="344"/>
      <c r="F22" s="344"/>
      <c r="G22" s="46" t="s">
        <v>585</v>
      </c>
      <c r="H22" s="18"/>
      <c r="I22" s="18"/>
    </row>
    <row r="23" spans="1:9" s="11" customFormat="1" x14ac:dyDescent="0.2">
      <c r="A23" s="351"/>
      <c r="B23" s="351"/>
      <c r="C23" s="351"/>
      <c r="D23" s="344" t="s">
        <v>310</v>
      </c>
      <c r="E23" s="344"/>
      <c r="F23" s="344"/>
      <c r="G23" s="44" t="s">
        <v>202</v>
      </c>
      <c r="H23" s="18"/>
      <c r="I23" s="18"/>
    </row>
    <row r="24" spans="1:9" s="11" customFormat="1" x14ac:dyDescent="0.2">
      <c r="A24" s="351"/>
      <c r="B24" s="351"/>
      <c r="C24" s="344" t="s">
        <v>311</v>
      </c>
      <c r="D24" s="344"/>
      <c r="E24" s="344"/>
      <c r="F24" s="344"/>
      <c r="G24" s="46" t="s">
        <v>585</v>
      </c>
      <c r="H24" s="18"/>
      <c r="I24" s="18"/>
    </row>
    <row r="25" spans="1:9" s="11" customFormat="1" x14ac:dyDescent="0.2">
      <c r="A25" s="351"/>
      <c r="B25" s="351"/>
      <c r="C25" s="344" t="s">
        <v>312</v>
      </c>
      <c r="D25" s="344"/>
      <c r="E25" s="344"/>
      <c r="F25" s="344"/>
      <c r="G25" s="44">
        <v>20</v>
      </c>
      <c r="H25" s="18"/>
      <c r="I25" s="18"/>
    </row>
    <row r="26" spans="1:9" s="11" customFormat="1" x14ac:dyDescent="0.2">
      <c r="A26" s="351"/>
      <c r="B26" s="351"/>
      <c r="C26" s="344" t="s">
        <v>313</v>
      </c>
      <c r="D26" s="344"/>
      <c r="E26" s="344"/>
      <c r="F26" s="344"/>
      <c r="G26" s="44" t="s">
        <v>276</v>
      </c>
      <c r="H26" s="18"/>
      <c r="I26" s="18"/>
    </row>
    <row r="27" spans="1:9" s="11" customFormat="1" x14ac:dyDescent="0.2">
      <c r="A27" s="351"/>
      <c r="B27" s="360" t="s">
        <v>314</v>
      </c>
      <c r="C27" s="360" t="s">
        <v>315</v>
      </c>
      <c r="D27" s="360" t="s">
        <v>316</v>
      </c>
      <c r="E27" s="360" t="s">
        <v>295</v>
      </c>
      <c r="F27" s="360"/>
      <c r="G27" s="98" t="s">
        <v>202</v>
      </c>
      <c r="H27" s="18"/>
      <c r="I27" s="18"/>
    </row>
    <row r="28" spans="1:9" s="11" customFormat="1" x14ac:dyDescent="0.2">
      <c r="A28" s="351"/>
      <c r="B28" s="361"/>
      <c r="C28" s="361"/>
      <c r="D28" s="361"/>
      <c r="E28" s="360" t="s">
        <v>296</v>
      </c>
      <c r="F28" s="360"/>
      <c r="G28" s="46" t="s">
        <v>585</v>
      </c>
      <c r="H28" s="18"/>
      <c r="I28" s="18"/>
    </row>
    <row r="29" spans="1:9" s="11" customFormat="1" x14ac:dyDescent="0.2">
      <c r="A29" s="351"/>
      <c r="B29" s="361"/>
      <c r="C29" s="361"/>
      <c r="D29" s="361"/>
      <c r="E29" s="360" t="s">
        <v>297</v>
      </c>
      <c r="F29" s="360"/>
      <c r="G29" s="46" t="s">
        <v>585</v>
      </c>
      <c r="H29" s="18"/>
      <c r="I29" s="18"/>
    </row>
    <row r="30" spans="1:9" s="11" customFormat="1" x14ac:dyDescent="0.2">
      <c r="A30" s="351"/>
      <c r="B30" s="361"/>
      <c r="C30" s="361"/>
      <c r="D30" s="361"/>
      <c r="E30" s="360" t="s">
        <v>317</v>
      </c>
      <c r="F30" s="360"/>
      <c r="G30" s="46" t="s">
        <v>585</v>
      </c>
      <c r="H30" s="18"/>
      <c r="I30" s="18"/>
    </row>
    <row r="31" spans="1:9" s="11" customFormat="1" x14ac:dyDescent="0.2">
      <c r="A31" s="351"/>
      <c r="B31" s="361"/>
      <c r="C31" s="361"/>
      <c r="D31" s="361"/>
      <c r="E31" s="360" t="s">
        <v>318</v>
      </c>
      <c r="F31" s="360"/>
      <c r="G31" s="46" t="s">
        <v>585</v>
      </c>
      <c r="H31" s="18"/>
      <c r="I31" s="18"/>
    </row>
    <row r="32" spans="1:9" s="11" customFormat="1" x14ac:dyDescent="0.2">
      <c r="A32" s="351"/>
      <c r="B32" s="361"/>
      <c r="C32" s="361"/>
      <c r="D32" s="360" t="s">
        <v>155</v>
      </c>
      <c r="E32" s="360" t="s">
        <v>300</v>
      </c>
      <c r="F32" s="360"/>
      <c r="G32" s="45">
        <v>1</v>
      </c>
      <c r="H32" s="18"/>
      <c r="I32" s="18"/>
    </row>
    <row r="33" spans="1:9" s="11" customFormat="1" x14ac:dyDescent="0.2">
      <c r="A33" s="351"/>
      <c r="B33" s="361"/>
      <c r="C33" s="361"/>
      <c r="D33" s="361"/>
      <c r="E33" s="360" t="s">
        <v>1</v>
      </c>
      <c r="F33" s="32" t="s">
        <v>215</v>
      </c>
      <c r="G33" s="46" t="s">
        <v>585</v>
      </c>
      <c r="H33" s="18"/>
      <c r="I33" s="18"/>
    </row>
    <row r="34" spans="1:9" s="11" customFormat="1" x14ac:dyDescent="0.2">
      <c r="A34" s="351"/>
      <c r="B34" s="361"/>
      <c r="C34" s="361"/>
      <c r="D34" s="361"/>
      <c r="E34" s="361"/>
      <c r="F34" s="53" t="s">
        <v>216</v>
      </c>
      <c r="G34" s="45" t="s">
        <v>202</v>
      </c>
      <c r="H34" s="18"/>
      <c r="I34" s="18"/>
    </row>
    <row r="35" spans="1:9" s="11" customFormat="1" x14ac:dyDescent="0.2">
      <c r="A35" s="351"/>
      <c r="B35" s="361"/>
      <c r="C35" s="361"/>
      <c r="D35" s="361"/>
      <c r="E35" s="361"/>
      <c r="F35" s="32" t="s">
        <v>217</v>
      </c>
      <c r="G35" s="46" t="s">
        <v>585</v>
      </c>
      <c r="H35" s="18"/>
      <c r="I35" s="18"/>
    </row>
    <row r="36" spans="1:9" s="11" customFormat="1" x14ac:dyDescent="0.2">
      <c r="A36" s="351"/>
      <c r="B36" s="361"/>
      <c r="C36" s="361"/>
      <c r="D36" s="361"/>
      <c r="E36" s="360" t="s">
        <v>89</v>
      </c>
      <c r="F36" s="32" t="s">
        <v>88</v>
      </c>
      <c r="G36" s="45"/>
      <c r="H36" s="18"/>
      <c r="I36" s="18"/>
    </row>
    <row r="37" spans="1:9" s="11" customFormat="1" x14ac:dyDescent="0.2">
      <c r="A37" s="351"/>
      <c r="B37" s="361"/>
      <c r="C37" s="361"/>
      <c r="D37" s="361"/>
      <c r="E37" s="361"/>
      <c r="F37" s="32" t="s">
        <v>1</v>
      </c>
      <c r="G37" s="45"/>
      <c r="H37" s="18"/>
      <c r="I37" s="18"/>
    </row>
    <row r="38" spans="1:9" s="11" customFormat="1" x14ac:dyDescent="0.2">
      <c r="A38" s="351"/>
      <c r="B38" s="361"/>
      <c r="C38" s="360" t="s">
        <v>319</v>
      </c>
      <c r="D38" s="360" t="s">
        <v>295</v>
      </c>
      <c r="E38" s="360"/>
      <c r="F38" s="360"/>
      <c r="G38" s="46" t="s">
        <v>585</v>
      </c>
      <c r="H38" s="18"/>
      <c r="I38" s="18"/>
    </row>
    <row r="39" spans="1:9" s="11" customFormat="1" x14ac:dyDescent="0.2">
      <c r="A39" s="351"/>
      <c r="B39" s="361"/>
      <c r="C39" s="361"/>
      <c r="D39" s="360" t="s">
        <v>296</v>
      </c>
      <c r="E39" s="360"/>
      <c r="F39" s="360"/>
      <c r="G39" s="46" t="s">
        <v>585</v>
      </c>
      <c r="H39" s="18"/>
      <c r="I39" s="18"/>
    </row>
    <row r="40" spans="1:9" s="11" customFormat="1" x14ac:dyDescent="0.2">
      <c r="A40" s="351"/>
      <c r="B40" s="361"/>
      <c r="C40" s="361"/>
      <c r="D40" s="360" t="s">
        <v>297</v>
      </c>
      <c r="E40" s="360"/>
      <c r="F40" s="360"/>
      <c r="G40" s="46" t="s">
        <v>585</v>
      </c>
      <c r="H40" s="18"/>
      <c r="I40" s="18"/>
    </row>
    <row r="41" spans="1:9" s="11" customFormat="1" x14ac:dyDescent="0.2">
      <c r="A41" s="351"/>
      <c r="B41" s="361"/>
      <c r="C41" s="361"/>
      <c r="D41" s="360" t="s">
        <v>317</v>
      </c>
      <c r="E41" s="360"/>
      <c r="F41" s="360"/>
      <c r="G41" s="46" t="s">
        <v>585</v>
      </c>
      <c r="H41" s="18"/>
      <c r="I41" s="18"/>
    </row>
    <row r="42" spans="1:9" s="11" customFormat="1" x14ac:dyDescent="0.2">
      <c r="A42" s="351"/>
      <c r="B42" s="361"/>
      <c r="C42" s="361"/>
      <c r="D42" s="360" t="s">
        <v>318</v>
      </c>
      <c r="E42" s="360"/>
      <c r="F42" s="360"/>
      <c r="G42" s="45" t="s">
        <v>202</v>
      </c>
      <c r="H42" s="18"/>
      <c r="I42" s="18"/>
    </row>
    <row r="43" spans="1:9" s="11" customFormat="1" x14ac:dyDescent="0.2">
      <c r="A43" s="351"/>
      <c r="B43" s="361"/>
      <c r="C43" s="361"/>
      <c r="D43" s="360" t="s">
        <v>320</v>
      </c>
      <c r="E43" s="360"/>
      <c r="F43" s="360"/>
      <c r="G43" s="46" t="s">
        <v>585</v>
      </c>
      <c r="H43" s="18"/>
      <c r="I43" s="18"/>
    </row>
    <row r="44" spans="1:9" s="11" customFormat="1" x14ac:dyDescent="0.2">
      <c r="A44" s="351"/>
      <c r="B44" s="361"/>
      <c r="C44" s="360" t="s">
        <v>321</v>
      </c>
      <c r="D44" s="360"/>
      <c r="E44" s="360"/>
      <c r="F44" s="360"/>
      <c r="G44" s="45">
        <v>90</v>
      </c>
      <c r="H44" s="18"/>
      <c r="I44" s="18"/>
    </row>
    <row r="45" spans="1:9" s="11" customFormat="1" x14ac:dyDescent="0.2">
      <c r="A45" s="351"/>
      <c r="B45" s="361"/>
      <c r="C45" s="360" t="s">
        <v>322</v>
      </c>
      <c r="D45" s="360"/>
      <c r="E45" s="360"/>
      <c r="F45" s="360"/>
      <c r="G45" s="45">
        <v>90</v>
      </c>
      <c r="H45" s="18"/>
      <c r="I45" s="18"/>
    </row>
    <row r="46" spans="1:9" s="11" customFormat="1" x14ac:dyDescent="0.2">
      <c r="A46" s="351"/>
      <c r="B46" s="361"/>
      <c r="C46" s="360" t="s">
        <v>323</v>
      </c>
      <c r="D46" s="360"/>
      <c r="E46" s="360"/>
      <c r="F46" s="360"/>
      <c r="G46" s="44" t="s">
        <v>276</v>
      </c>
      <c r="H46" s="18"/>
      <c r="I46" s="18"/>
    </row>
    <row r="47" spans="1:9" s="11" customFormat="1" x14ac:dyDescent="0.2">
      <c r="A47" s="351"/>
      <c r="B47" s="361"/>
      <c r="C47" s="360" t="s">
        <v>324</v>
      </c>
      <c r="D47" s="360"/>
      <c r="E47" s="360"/>
      <c r="F47" s="360"/>
      <c r="G47" s="44" t="s">
        <v>276</v>
      </c>
      <c r="H47" s="18"/>
      <c r="I47" s="18"/>
    </row>
    <row r="48" spans="1:9" s="11" customFormat="1" x14ac:dyDescent="0.2">
      <c r="A48" s="351"/>
      <c r="B48" s="344" t="s">
        <v>325</v>
      </c>
      <c r="C48" s="344" t="s">
        <v>326</v>
      </c>
      <c r="D48" s="344"/>
      <c r="E48" s="344"/>
      <c r="F48" s="344"/>
      <c r="G48" s="46" t="s">
        <v>585</v>
      </c>
      <c r="H48" s="18"/>
      <c r="I48" s="18"/>
    </row>
    <row r="49" spans="1:9" s="11" customFormat="1" x14ac:dyDescent="0.2">
      <c r="A49" s="351"/>
      <c r="B49" s="351"/>
      <c r="C49" s="344" t="s">
        <v>327</v>
      </c>
      <c r="D49" s="344"/>
      <c r="E49" s="344"/>
      <c r="F49" s="344"/>
      <c r="G49" s="46" t="s">
        <v>585</v>
      </c>
      <c r="H49" s="18"/>
      <c r="I49" s="18"/>
    </row>
    <row r="50" spans="1:9" s="11" customFormat="1" x14ac:dyDescent="0.2">
      <c r="A50" s="351"/>
      <c r="B50" s="351"/>
      <c r="C50" s="344" t="s">
        <v>328</v>
      </c>
      <c r="D50" s="344" t="s">
        <v>329</v>
      </c>
      <c r="E50" s="344"/>
      <c r="F50" s="344"/>
      <c r="G50" s="46" t="s">
        <v>585</v>
      </c>
      <c r="H50" s="18"/>
      <c r="I50" s="18"/>
    </row>
    <row r="51" spans="1:9" s="11" customFormat="1" x14ac:dyDescent="0.2">
      <c r="A51" s="351"/>
      <c r="B51" s="351"/>
      <c r="C51" s="351"/>
      <c r="D51" s="344" t="s">
        <v>330</v>
      </c>
      <c r="E51" s="344"/>
      <c r="F51" s="344"/>
      <c r="G51" s="46" t="s">
        <v>585</v>
      </c>
      <c r="H51" s="18"/>
      <c r="I51" s="18"/>
    </row>
    <row r="52" spans="1:9" s="11" customFormat="1" x14ac:dyDescent="0.2">
      <c r="A52" s="351"/>
      <c r="B52" s="351"/>
      <c r="C52" s="351"/>
      <c r="D52" s="344" t="s">
        <v>68</v>
      </c>
      <c r="E52" s="344"/>
      <c r="F52" s="344"/>
      <c r="G52" s="46" t="s">
        <v>585</v>
      </c>
      <c r="H52" s="18"/>
      <c r="I52" s="18"/>
    </row>
    <row r="53" spans="1:9" s="11" customFormat="1" x14ac:dyDescent="0.2">
      <c r="A53" s="351"/>
      <c r="B53" s="344" t="s">
        <v>250</v>
      </c>
      <c r="C53" s="19" t="s">
        <v>331</v>
      </c>
      <c r="D53" s="351"/>
      <c r="E53" s="351"/>
      <c r="F53" s="351"/>
      <c r="G53" s="44"/>
      <c r="H53" s="18"/>
      <c r="I53" s="18"/>
    </row>
    <row r="54" spans="1:9" s="11" customFormat="1" x14ac:dyDescent="0.2">
      <c r="A54" s="351"/>
      <c r="B54" s="351"/>
      <c r="C54" s="19" t="s">
        <v>332</v>
      </c>
      <c r="D54" s="351"/>
      <c r="E54" s="351"/>
      <c r="F54" s="351"/>
      <c r="G54" s="44"/>
      <c r="H54" s="18"/>
      <c r="I54" s="18"/>
    </row>
    <row r="55" spans="1:9" s="11" customFormat="1" x14ac:dyDescent="0.2">
      <c r="A55" s="351"/>
      <c r="B55" s="351"/>
      <c r="C55" s="19" t="s">
        <v>333</v>
      </c>
      <c r="D55" s="351"/>
      <c r="E55" s="351"/>
      <c r="F55" s="351"/>
      <c r="G55" s="44"/>
      <c r="H55" s="18"/>
      <c r="I55" s="18"/>
    </row>
    <row r="56" spans="1:9" s="11" customFormat="1" x14ac:dyDescent="0.2">
      <c r="A56" s="18"/>
      <c r="B56" s="18"/>
      <c r="C56" s="18"/>
      <c r="D56" s="18"/>
      <c r="E56" s="18"/>
      <c r="F56" s="18"/>
      <c r="G56" s="26"/>
      <c r="H56" s="18"/>
      <c r="I56" s="18"/>
    </row>
    <row r="57" spans="1:9" x14ac:dyDescent="0.2">
      <c r="A57" s="344" t="s">
        <v>291</v>
      </c>
      <c r="B57" s="344" t="s">
        <v>292</v>
      </c>
      <c r="C57" s="344" t="s">
        <v>293</v>
      </c>
      <c r="D57" s="344" t="s">
        <v>294</v>
      </c>
      <c r="E57" s="344" t="s">
        <v>295</v>
      </c>
      <c r="F57" s="344"/>
      <c r="G57" s="46" t="s">
        <v>585</v>
      </c>
    </row>
    <row r="58" spans="1:9" x14ac:dyDescent="0.2">
      <c r="A58" s="351"/>
      <c r="B58" s="351"/>
      <c r="C58" s="351"/>
      <c r="D58" s="351"/>
      <c r="E58" s="344" t="s">
        <v>296</v>
      </c>
      <c r="F58" s="344"/>
      <c r="G58" s="46" t="s">
        <v>585</v>
      </c>
    </row>
    <row r="59" spans="1:9" x14ac:dyDescent="0.2">
      <c r="A59" s="351"/>
      <c r="B59" s="351"/>
      <c r="C59" s="351"/>
      <c r="D59" s="351"/>
      <c r="E59" s="344" t="s">
        <v>297</v>
      </c>
      <c r="F59" s="344"/>
      <c r="G59" s="44" t="s">
        <v>202</v>
      </c>
    </row>
    <row r="60" spans="1:9" x14ac:dyDescent="0.2">
      <c r="A60" s="351"/>
      <c r="B60" s="351"/>
      <c r="C60" s="351"/>
      <c r="D60" s="351"/>
      <c r="E60" s="344" t="s">
        <v>298</v>
      </c>
      <c r="F60" s="344"/>
      <c r="G60" s="46" t="s">
        <v>585</v>
      </c>
    </row>
    <row r="61" spans="1:9" x14ac:dyDescent="0.2">
      <c r="A61" s="351"/>
      <c r="B61" s="351"/>
      <c r="C61" s="351"/>
      <c r="D61" s="351"/>
      <c r="E61" s="344" t="s">
        <v>299</v>
      </c>
      <c r="F61" s="344"/>
      <c r="G61" s="46" t="s">
        <v>585</v>
      </c>
    </row>
    <row r="62" spans="1:9" x14ac:dyDescent="0.2">
      <c r="A62" s="351"/>
      <c r="B62" s="351"/>
      <c r="C62" s="351"/>
      <c r="D62" s="365" t="s">
        <v>588</v>
      </c>
      <c r="E62" s="344">
        <v>1</v>
      </c>
      <c r="F62" s="344"/>
      <c r="G62" s="44">
        <v>3</v>
      </c>
    </row>
    <row r="63" spans="1:9" s="37" customFormat="1" x14ac:dyDescent="0.2">
      <c r="A63" s="351"/>
      <c r="B63" s="351"/>
      <c r="C63" s="351"/>
      <c r="D63" s="344"/>
      <c r="E63" s="358">
        <v>2</v>
      </c>
      <c r="F63" s="359"/>
      <c r="G63" s="44">
        <v>6</v>
      </c>
      <c r="H63" s="18"/>
      <c r="I63" s="18"/>
    </row>
    <row r="64" spans="1:9" x14ac:dyDescent="0.2">
      <c r="A64" s="351"/>
      <c r="B64" s="351"/>
      <c r="C64" s="351"/>
      <c r="D64" s="351"/>
      <c r="E64" s="344">
        <v>3</v>
      </c>
      <c r="F64" s="344"/>
      <c r="G64" s="44">
        <v>9</v>
      </c>
    </row>
    <row r="65" spans="1:7" x14ac:dyDescent="0.2">
      <c r="A65" s="351"/>
      <c r="B65" s="351"/>
      <c r="C65" s="344" t="s">
        <v>301</v>
      </c>
      <c r="D65" s="344" t="s">
        <v>302</v>
      </c>
      <c r="E65" s="344"/>
      <c r="F65" s="344"/>
      <c r="G65" s="46" t="s">
        <v>585</v>
      </c>
    </row>
    <row r="66" spans="1:7" x14ac:dyDescent="0.2">
      <c r="A66" s="351"/>
      <c r="B66" s="351"/>
      <c r="C66" s="351"/>
      <c r="D66" s="344" t="s">
        <v>303</v>
      </c>
      <c r="E66" s="344"/>
      <c r="F66" s="344"/>
      <c r="G66" s="46" t="s">
        <v>585</v>
      </c>
    </row>
    <row r="67" spans="1:7" x14ac:dyDescent="0.2">
      <c r="A67" s="351"/>
      <c r="B67" s="351"/>
      <c r="C67" s="351"/>
      <c r="D67" s="344" t="s">
        <v>304</v>
      </c>
      <c r="E67" s="344"/>
      <c r="F67" s="344"/>
      <c r="G67" s="46" t="s">
        <v>585</v>
      </c>
    </row>
    <row r="68" spans="1:7" x14ac:dyDescent="0.2">
      <c r="A68" s="351"/>
      <c r="B68" s="351"/>
      <c r="C68" s="351"/>
      <c r="D68" s="344" t="s">
        <v>305</v>
      </c>
      <c r="E68" s="344"/>
      <c r="F68" s="344"/>
      <c r="G68" s="46" t="s">
        <v>585</v>
      </c>
    </row>
    <row r="69" spans="1:7" x14ac:dyDescent="0.2">
      <c r="A69" s="351"/>
      <c r="B69" s="351"/>
      <c r="C69" s="344" t="s">
        <v>306</v>
      </c>
      <c r="D69" s="344" t="s">
        <v>294</v>
      </c>
      <c r="E69" s="344" t="s">
        <v>295</v>
      </c>
      <c r="F69" s="344"/>
      <c r="G69" s="44" t="s">
        <v>276</v>
      </c>
    </row>
    <row r="70" spans="1:7" x14ac:dyDescent="0.2">
      <c r="A70" s="351"/>
      <c r="B70" s="351"/>
      <c r="C70" s="351"/>
      <c r="D70" s="351"/>
      <c r="E70" s="344" t="s">
        <v>296</v>
      </c>
      <c r="F70" s="344"/>
      <c r="G70" s="44" t="s">
        <v>276</v>
      </c>
    </row>
    <row r="71" spans="1:7" x14ac:dyDescent="0.2">
      <c r="A71" s="351"/>
      <c r="B71" s="351"/>
      <c r="C71" s="351"/>
      <c r="D71" s="351"/>
      <c r="E71" s="344" t="s">
        <v>297</v>
      </c>
      <c r="F71" s="344"/>
      <c r="G71" s="44" t="s">
        <v>276</v>
      </c>
    </row>
    <row r="72" spans="1:7" x14ac:dyDescent="0.2">
      <c r="A72" s="351"/>
      <c r="B72" s="351"/>
      <c r="C72" s="351"/>
      <c r="D72" s="351"/>
      <c r="E72" s="344" t="s">
        <v>298</v>
      </c>
      <c r="F72" s="344"/>
      <c r="G72" s="44" t="s">
        <v>276</v>
      </c>
    </row>
    <row r="73" spans="1:7" x14ac:dyDescent="0.2">
      <c r="A73" s="351"/>
      <c r="B73" s="351"/>
      <c r="C73" s="351"/>
      <c r="D73" s="351"/>
      <c r="E73" s="344" t="s">
        <v>299</v>
      </c>
      <c r="F73" s="344"/>
      <c r="G73" s="44" t="s">
        <v>276</v>
      </c>
    </row>
    <row r="74" spans="1:7" x14ac:dyDescent="0.2">
      <c r="A74" s="351"/>
      <c r="B74" s="351"/>
      <c r="C74" s="351"/>
      <c r="D74" s="344" t="s">
        <v>155</v>
      </c>
      <c r="E74" s="344" t="s">
        <v>300</v>
      </c>
      <c r="F74" s="344"/>
      <c r="G74" s="44" t="s">
        <v>276</v>
      </c>
    </row>
    <row r="75" spans="1:7" x14ac:dyDescent="0.2">
      <c r="A75" s="351"/>
      <c r="B75" s="351"/>
      <c r="C75" s="351"/>
      <c r="D75" s="351"/>
      <c r="E75" s="344" t="s">
        <v>307</v>
      </c>
      <c r="F75" s="344"/>
      <c r="G75" s="44" t="s">
        <v>276</v>
      </c>
    </row>
    <row r="76" spans="1:7" x14ac:dyDescent="0.2">
      <c r="A76" s="351"/>
      <c r="B76" s="351"/>
      <c r="C76" s="344" t="s">
        <v>308</v>
      </c>
      <c r="D76" s="344" t="s">
        <v>309</v>
      </c>
      <c r="E76" s="344"/>
      <c r="F76" s="344"/>
      <c r="G76" s="44"/>
    </row>
    <row r="77" spans="1:7" x14ac:dyDescent="0.2">
      <c r="A77" s="351"/>
      <c r="B77" s="351"/>
      <c r="C77" s="351"/>
      <c r="D77" s="344" t="s">
        <v>310</v>
      </c>
      <c r="E77" s="344"/>
      <c r="F77" s="344"/>
      <c r="G77" s="44" t="s">
        <v>202</v>
      </c>
    </row>
    <row r="78" spans="1:7" x14ac:dyDescent="0.2">
      <c r="A78" s="351"/>
      <c r="B78" s="351"/>
      <c r="C78" s="344" t="s">
        <v>311</v>
      </c>
      <c r="D78" s="344"/>
      <c r="E78" s="344"/>
      <c r="F78" s="344"/>
      <c r="G78" s="46" t="s">
        <v>585</v>
      </c>
    </row>
    <row r="79" spans="1:7" x14ac:dyDescent="0.2">
      <c r="A79" s="351"/>
      <c r="B79" s="351"/>
      <c r="C79" s="344" t="s">
        <v>312</v>
      </c>
      <c r="D79" s="344"/>
      <c r="E79" s="344"/>
      <c r="F79" s="344"/>
      <c r="G79" s="44">
        <v>20</v>
      </c>
    </row>
    <row r="80" spans="1:7" x14ac:dyDescent="0.2">
      <c r="A80" s="351"/>
      <c r="B80" s="351"/>
      <c r="C80" s="344" t="s">
        <v>313</v>
      </c>
      <c r="D80" s="344"/>
      <c r="E80" s="344"/>
      <c r="F80" s="344"/>
      <c r="G80" s="44" t="s">
        <v>276</v>
      </c>
    </row>
    <row r="81" spans="1:7" x14ac:dyDescent="0.2">
      <c r="A81" s="351"/>
      <c r="B81" s="360" t="s">
        <v>314</v>
      </c>
      <c r="C81" s="360" t="s">
        <v>315</v>
      </c>
      <c r="D81" s="360" t="s">
        <v>316</v>
      </c>
      <c r="E81" s="360" t="s">
        <v>295</v>
      </c>
      <c r="F81" s="360"/>
      <c r="G81" s="98" t="s">
        <v>202</v>
      </c>
    </row>
    <row r="82" spans="1:7" x14ac:dyDescent="0.2">
      <c r="A82" s="351"/>
      <c r="B82" s="361"/>
      <c r="C82" s="361"/>
      <c r="D82" s="361"/>
      <c r="E82" s="360" t="s">
        <v>296</v>
      </c>
      <c r="F82" s="360"/>
      <c r="G82" s="46" t="s">
        <v>585</v>
      </c>
    </row>
    <row r="83" spans="1:7" x14ac:dyDescent="0.2">
      <c r="A83" s="351"/>
      <c r="B83" s="361"/>
      <c r="C83" s="361"/>
      <c r="D83" s="361"/>
      <c r="E83" s="360" t="s">
        <v>297</v>
      </c>
      <c r="F83" s="360"/>
      <c r="G83" s="46" t="s">
        <v>585</v>
      </c>
    </row>
    <row r="84" spans="1:7" x14ac:dyDescent="0.2">
      <c r="A84" s="351"/>
      <c r="B84" s="361"/>
      <c r="C84" s="361"/>
      <c r="D84" s="361"/>
      <c r="E84" s="360" t="s">
        <v>317</v>
      </c>
      <c r="F84" s="360"/>
      <c r="G84" s="46" t="s">
        <v>585</v>
      </c>
    </row>
    <row r="85" spans="1:7" x14ac:dyDescent="0.2">
      <c r="A85" s="351"/>
      <c r="B85" s="361"/>
      <c r="C85" s="361"/>
      <c r="D85" s="361"/>
      <c r="E85" s="360" t="s">
        <v>318</v>
      </c>
      <c r="F85" s="360"/>
      <c r="G85" s="46" t="s">
        <v>585</v>
      </c>
    </row>
    <row r="86" spans="1:7" x14ac:dyDescent="0.2">
      <c r="A86" s="351"/>
      <c r="B86" s="361"/>
      <c r="C86" s="361"/>
      <c r="D86" s="360" t="s">
        <v>155</v>
      </c>
      <c r="E86" s="360" t="s">
        <v>300</v>
      </c>
      <c r="F86" s="360"/>
      <c r="G86" s="45">
        <v>1</v>
      </c>
    </row>
    <row r="87" spans="1:7" x14ac:dyDescent="0.2">
      <c r="A87" s="351"/>
      <c r="B87" s="361"/>
      <c r="C87" s="361"/>
      <c r="D87" s="361"/>
      <c r="E87" s="360" t="s">
        <v>1</v>
      </c>
      <c r="F87" s="53" t="s">
        <v>215</v>
      </c>
      <c r="G87" s="44" t="s">
        <v>202</v>
      </c>
    </row>
    <row r="88" spans="1:7" x14ac:dyDescent="0.2">
      <c r="A88" s="351"/>
      <c r="B88" s="361"/>
      <c r="C88" s="361"/>
      <c r="D88" s="361"/>
      <c r="E88" s="361"/>
      <c r="F88" s="32" t="s">
        <v>216</v>
      </c>
      <c r="G88" s="46" t="s">
        <v>585</v>
      </c>
    </row>
    <row r="89" spans="1:7" x14ac:dyDescent="0.2">
      <c r="A89" s="351"/>
      <c r="B89" s="361"/>
      <c r="C89" s="361"/>
      <c r="D89" s="361"/>
      <c r="E89" s="361"/>
      <c r="F89" s="82" t="s">
        <v>217</v>
      </c>
      <c r="G89" s="46" t="s">
        <v>585</v>
      </c>
    </row>
    <row r="90" spans="1:7" x14ac:dyDescent="0.2">
      <c r="A90" s="351"/>
      <c r="B90" s="361"/>
      <c r="C90" s="361"/>
      <c r="D90" s="361"/>
      <c r="E90" s="360" t="s">
        <v>89</v>
      </c>
      <c r="F90" s="32" t="s">
        <v>88</v>
      </c>
      <c r="G90" s="44" t="s">
        <v>276</v>
      </c>
    </row>
    <row r="91" spans="1:7" x14ac:dyDescent="0.2">
      <c r="A91" s="351"/>
      <c r="B91" s="361"/>
      <c r="C91" s="361"/>
      <c r="D91" s="361"/>
      <c r="E91" s="361"/>
      <c r="F91" s="32" t="s">
        <v>1</v>
      </c>
      <c r="G91" s="44" t="s">
        <v>276</v>
      </c>
    </row>
    <row r="92" spans="1:7" x14ac:dyDescent="0.2">
      <c r="A92" s="351"/>
      <c r="B92" s="361"/>
      <c r="C92" s="360" t="s">
        <v>319</v>
      </c>
      <c r="D92" s="360" t="s">
        <v>295</v>
      </c>
      <c r="E92" s="360"/>
      <c r="F92" s="360"/>
      <c r="G92" s="46" t="s">
        <v>585</v>
      </c>
    </row>
    <row r="93" spans="1:7" x14ac:dyDescent="0.2">
      <c r="A93" s="351"/>
      <c r="B93" s="361"/>
      <c r="C93" s="361"/>
      <c r="D93" s="360" t="s">
        <v>296</v>
      </c>
      <c r="E93" s="360"/>
      <c r="F93" s="360"/>
      <c r="G93" s="46" t="s">
        <v>585</v>
      </c>
    </row>
    <row r="94" spans="1:7" x14ac:dyDescent="0.2">
      <c r="A94" s="351"/>
      <c r="B94" s="361"/>
      <c r="C94" s="361"/>
      <c r="D94" s="360" t="s">
        <v>297</v>
      </c>
      <c r="E94" s="360"/>
      <c r="F94" s="360"/>
      <c r="G94" s="46" t="s">
        <v>585</v>
      </c>
    </row>
    <row r="95" spans="1:7" x14ac:dyDescent="0.2">
      <c r="A95" s="351"/>
      <c r="B95" s="361"/>
      <c r="C95" s="361"/>
      <c r="D95" s="360" t="s">
        <v>317</v>
      </c>
      <c r="E95" s="360"/>
      <c r="F95" s="360"/>
      <c r="G95" s="45" t="s">
        <v>202</v>
      </c>
    </row>
    <row r="96" spans="1:7" x14ac:dyDescent="0.2">
      <c r="A96" s="351"/>
      <c r="B96" s="361"/>
      <c r="C96" s="361"/>
      <c r="D96" s="360" t="s">
        <v>318</v>
      </c>
      <c r="E96" s="360"/>
      <c r="F96" s="360"/>
      <c r="G96" s="46" t="s">
        <v>585</v>
      </c>
    </row>
    <row r="97" spans="1:7" x14ac:dyDescent="0.2">
      <c r="A97" s="351"/>
      <c r="B97" s="361"/>
      <c r="C97" s="361"/>
      <c r="D97" s="360" t="s">
        <v>320</v>
      </c>
      <c r="E97" s="360"/>
      <c r="F97" s="360"/>
      <c r="G97" s="46" t="s">
        <v>585</v>
      </c>
    </row>
    <row r="98" spans="1:7" x14ac:dyDescent="0.2">
      <c r="A98" s="351"/>
      <c r="B98" s="361"/>
      <c r="C98" s="360" t="s">
        <v>321</v>
      </c>
      <c r="D98" s="360"/>
      <c r="E98" s="360"/>
      <c r="F98" s="360"/>
      <c r="G98" s="45">
        <v>90</v>
      </c>
    </row>
    <row r="99" spans="1:7" x14ac:dyDescent="0.2">
      <c r="A99" s="351"/>
      <c r="B99" s="361"/>
      <c r="C99" s="360" t="s">
        <v>322</v>
      </c>
      <c r="D99" s="360"/>
      <c r="E99" s="360"/>
      <c r="F99" s="360"/>
      <c r="G99" s="45">
        <v>90</v>
      </c>
    </row>
    <row r="100" spans="1:7" x14ac:dyDescent="0.2">
      <c r="A100" s="351"/>
      <c r="B100" s="361"/>
      <c r="C100" s="360" t="s">
        <v>323</v>
      </c>
      <c r="D100" s="360"/>
      <c r="E100" s="360"/>
      <c r="F100" s="360"/>
      <c r="G100" s="44" t="s">
        <v>276</v>
      </c>
    </row>
    <row r="101" spans="1:7" x14ac:dyDescent="0.2">
      <c r="A101" s="351"/>
      <c r="B101" s="361"/>
      <c r="C101" s="360" t="s">
        <v>324</v>
      </c>
      <c r="D101" s="360"/>
      <c r="E101" s="360"/>
      <c r="F101" s="360"/>
      <c r="G101" s="44" t="s">
        <v>276</v>
      </c>
    </row>
    <row r="102" spans="1:7" x14ac:dyDescent="0.2">
      <c r="A102" s="351"/>
      <c r="B102" s="344" t="s">
        <v>325</v>
      </c>
      <c r="C102" s="344" t="s">
        <v>326</v>
      </c>
      <c r="D102" s="344"/>
      <c r="E102" s="344"/>
      <c r="F102" s="344"/>
      <c r="G102" s="46" t="s">
        <v>585</v>
      </c>
    </row>
    <row r="103" spans="1:7" x14ac:dyDescent="0.2">
      <c r="A103" s="351"/>
      <c r="B103" s="351"/>
      <c r="C103" s="344" t="s">
        <v>327</v>
      </c>
      <c r="D103" s="344"/>
      <c r="E103" s="344"/>
      <c r="F103" s="344"/>
      <c r="G103" s="46" t="s">
        <v>585</v>
      </c>
    </row>
    <row r="104" spans="1:7" x14ac:dyDescent="0.2">
      <c r="A104" s="351"/>
      <c r="B104" s="351"/>
      <c r="C104" s="344" t="s">
        <v>328</v>
      </c>
      <c r="D104" s="344" t="s">
        <v>329</v>
      </c>
      <c r="E104" s="344"/>
      <c r="F104" s="344"/>
      <c r="G104" s="46" t="s">
        <v>585</v>
      </c>
    </row>
    <row r="105" spans="1:7" x14ac:dyDescent="0.2">
      <c r="A105" s="351"/>
      <c r="B105" s="351"/>
      <c r="C105" s="351"/>
      <c r="D105" s="344" t="s">
        <v>330</v>
      </c>
      <c r="E105" s="344"/>
      <c r="F105" s="344"/>
      <c r="G105" s="46" t="s">
        <v>585</v>
      </c>
    </row>
    <row r="106" spans="1:7" x14ac:dyDescent="0.2">
      <c r="A106" s="351"/>
      <c r="B106" s="351"/>
      <c r="C106" s="351"/>
      <c r="D106" s="344" t="s">
        <v>68</v>
      </c>
      <c r="E106" s="344"/>
      <c r="F106" s="344"/>
      <c r="G106" s="46" t="s">
        <v>585</v>
      </c>
    </row>
    <row r="107" spans="1:7" x14ac:dyDescent="0.2">
      <c r="A107" s="351"/>
      <c r="B107" s="344" t="s">
        <v>250</v>
      </c>
      <c r="C107" s="19" t="s">
        <v>331</v>
      </c>
      <c r="D107" s="351"/>
      <c r="E107" s="351"/>
      <c r="F107" s="351"/>
      <c r="G107" s="44"/>
    </row>
    <row r="108" spans="1:7" x14ac:dyDescent="0.2">
      <c r="A108" s="351"/>
      <c r="B108" s="351"/>
      <c r="C108" s="19" t="s">
        <v>332</v>
      </c>
      <c r="D108" s="351"/>
      <c r="E108" s="351"/>
      <c r="F108" s="351"/>
      <c r="G108" s="44"/>
    </row>
    <row r="109" spans="1:7" x14ac:dyDescent="0.2">
      <c r="A109" s="351"/>
      <c r="B109" s="351"/>
      <c r="C109" s="19" t="s">
        <v>333</v>
      </c>
      <c r="D109" s="351"/>
      <c r="E109" s="351"/>
      <c r="F109" s="351"/>
      <c r="G109" s="44"/>
    </row>
  </sheetData>
  <mergeCells count="136">
    <mergeCell ref="D109:F109"/>
    <mergeCell ref="C103:F103"/>
    <mergeCell ref="D104:F104"/>
    <mergeCell ref="D105:F105"/>
    <mergeCell ref="D106:F106"/>
    <mergeCell ref="D107:F107"/>
    <mergeCell ref="D108:F108"/>
    <mergeCell ref="C102:F102"/>
    <mergeCell ref="E86:F86"/>
    <mergeCell ref="D92:F92"/>
    <mergeCell ref="D93:F93"/>
    <mergeCell ref="D94:F94"/>
    <mergeCell ref="D95:F95"/>
    <mergeCell ref="D96:F96"/>
    <mergeCell ref="E90:E91"/>
    <mergeCell ref="C92:C97"/>
    <mergeCell ref="D97:F97"/>
    <mergeCell ref="C98:F98"/>
    <mergeCell ref="C99:F99"/>
    <mergeCell ref="C100:F100"/>
    <mergeCell ref="C101:F101"/>
    <mergeCell ref="A57:A109"/>
    <mergeCell ref="B57:B80"/>
    <mergeCell ref="C57:C64"/>
    <mergeCell ref="D57:D61"/>
    <mergeCell ref="D62:D64"/>
    <mergeCell ref="C65:C68"/>
    <mergeCell ref="C69:C75"/>
    <mergeCell ref="D69:D73"/>
    <mergeCell ref="D74:D75"/>
    <mergeCell ref="C76:C77"/>
    <mergeCell ref="B102:B106"/>
    <mergeCell ref="C104:C106"/>
    <mergeCell ref="B107:B109"/>
    <mergeCell ref="D81:D85"/>
    <mergeCell ref="D86:D91"/>
    <mergeCell ref="D65:F65"/>
    <mergeCell ref="D66:F66"/>
    <mergeCell ref="D67:F67"/>
    <mergeCell ref="D68:F68"/>
    <mergeCell ref="E69:F69"/>
    <mergeCell ref="E82:F82"/>
    <mergeCell ref="E71:F71"/>
    <mergeCell ref="E72:F72"/>
    <mergeCell ref="E73:F73"/>
    <mergeCell ref="E57:F57"/>
    <mergeCell ref="E58:F58"/>
    <mergeCell ref="E59:F59"/>
    <mergeCell ref="E60:F60"/>
    <mergeCell ref="E61:F61"/>
    <mergeCell ref="E62:F62"/>
    <mergeCell ref="E64:F64"/>
    <mergeCell ref="B81:B101"/>
    <mergeCell ref="C81:C91"/>
    <mergeCell ref="E87:E89"/>
    <mergeCell ref="E74:F74"/>
    <mergeCell ref="E75:F75"/>
    <mergeCell ref="D76:F76"/>
    <mergeCell ref="D77:F77"/>
    <mergeCell ref="C78:F78"/>
    <mergeCell ref="C79:F79"/>
    <mergeCell ref="C80:F80"/>
    <mergeCell ref="E81:F81"/>
    <mergeCell ref="E83:F83"/>
    <mergeCell ref="E84:F84"/>
    <mergeCell ref="E85:F85"/>
    <mergeCell ref="E70:F70"/>
    <mergeCell ref="A3:A55"/>
    <mergeCell ref="B3:B26"/>
    <mergeCell ref="C3:C10"/>
    <mergeCell ref="D3:D7"/>
    <mergeCell ref="E3:F3"/>
    <mergeCell ref="E4:F4"/>
    <mergeCell ref="E5:F5"/>
    <mergeCell ref="E6:F6"/>
    <mergeCell ref="E7:F7"/>
    <mergeCell ref="D8:D10"/>
    <mergeCell ref="E8:F8"/>
    <mergeCell ref="E10:F10"/>
    <mergeCell ref="C11:C14"/>
    <mergeCell ref="D11:F11"/>
    <mergeCell ref="D12:F12"/>
    <mergeCell ref="D13:F13"/>
    <mergeCell ref="C22:C23"/>
    <mergeCell ref="D22:F22"/>
    <mergeCell ref="D23:F23"/>
    <mergeCell ref="C24:F24"/>
    <mergeCell ref="C25:F25"/>
    <mergeCell ref="D14:F14"/>
    <mergeCell ref="C15:C21"/>
    <mergeCell ref="D15:D19"/>
    <mergeCell ref="C38:C43"/>
    <mergeCell ref="D38:F38"/>
    <mergeCell ref="D39:F39"/>
    <mergeCell ref="E15:F15"/>
    <mergeCell ref="E16:F16"/>
    <mergeCell ref="E17:F17"/>
    <mergeCell ref="E18:F18"/>
    <mergeCell ref="E19:F19"/>
    <mergeCell ref="D20:D21"/>
    <mergeCell ref="E20:F20"/>
    <mergeCell ref="E21:F21"/>
    <mergeCell ref="D40:F40"/>
    <mergeCell ref="E27:F27"/>
    <mergeCell ref="E28:F28"/>
    <mergeCell ref="E29:F29"/>
    <mergeCell ref="E30:F30"/>
    <mergeCell ref="E31:F31"/>
    <mergeCell ref="D32:D37"/>
    <mergeCell ref="E32:F32"/>
    <mergeCell ref="E33:E35"/>
    <mergeCell ref="E36:E37"/>
    <mergeCell ref="E9:F9"/>
    <mergeCell ref="E63:F63"/>
    <mergeCell ref="B53:B55"/>
    <mergeCell ref="D53:F53"/>
    <mergeCell ref="D54:F54"/>
    <mergeCell ref="D55:F55"/>
    <mergeCell ref="C45:F45"/>
    <mergeCell ref="C46:F46"/>
    <mergeCell ref="C47:F47"/>
    <mergeCell ref="B48:B52"/>
    <mergeCell ref="C48:F48"/>
    <mergeCell ref="C49:F49"/>
    <mergeCell ref="C50:C52"/>
    <mergeCell ref="D50:F50"/>
    <mergeCell ref="D51:F51"/>
    <mergeCell ref="D52:F52"/>
    <mergeCell ref="D41:F41"/>
    <mergeCell ref="D42:F42"/>
    <mergeCell ref="D43:F43"/>
    <mergeCell ref="C44:F44"/>
    <mergeCell ref="C26:F26"/>
    <mergeCell ref="B27:B47"/>
    <mergeCell ref="C27:C37"/>
    <mergeCell ref="D27:D3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E21"/>
  <sheetViews>
    <sheetView workbookViewId="0">
      <selection activeCell="F18" sqref="F18"/>
    </sheetView>
  </sheetViews>
  <sheetFormatPr defaultColWidth="9.140625" defaultRowHeight="15" x14ac:dyDescent="0.2"/>
  <cols>
    <col min="1" max="1" width="34" style="18" bestFit="1" customWidth="1"/>
    <col min="2" max="2" width="17" style="18" bestFit="1" customWidth="1"/>
    <col min="3" max="3" width="28.85546875" style="18" customWidth="1"/>
    <col min="4" max="5" width="9.140625" style="18"/>
    <col min="6" max="16384" width="9.140625" style="3"/>
  </cols>
  <sheetData>
    <row r="2" spans="1:5" ht="15.75" thickBot="1" x14ac:dyDescent="0.25"/>
    <row r="3" spans="1:5" x14ac:dyDescent="0.2">
      <c r="A3" s="345" t="s">
        <v>1</v>
      </c>
      <c r="B3" s="348"/>
      <c r="C3" s="259" t="s">
        <v>13</v>
      </c>
    </row>
    <row r="4" spans="1:5" x14ac:dyDescent="0.2">
      <c r="A4" s="349" t="s">
        <v>391</v>
      </c>
      <c r="B4" s="19" t="s">
        <v>215</v>
      </c>
      <c r="C4" s="260" t="s">
        <v>202</v>
      </c>
    </row>
    <row r="5" spans="1:5" x14ac:dyDescent="0.2">
      <c r="A5" s="346"/>
      <c r="B5" s="19" t="s">
        <v>216</v>
      </c>
      <c r="C5" s="261" t="s">
        <v>585</v>
      </c>
    </row>
    <row r="6" spans="1:5" x14ac:dyDescent="0.2">
      <c r="A6" s="346"/>
      <c r="B6" s="254" t="s">
        <v>217</v>
      </c>
      <c r="C6" s="258" t="s">
        <v>585</v>
      </c>
    </row>
    <row r="7" spans="1:5" x14ac:dyDescent="0.2">
      <c r="A7" s="349" t="s">
        <v>0</v>
      </c>
      <c r="B7" s="19" t="s">
        <v>392</v>
      </c>
      <c r="C7" s="260" t="s">
        <v>202</v>
      </c>
    </row>
    <row r="8" spans="1:5" x14ac:dyDescent="0.2">
      <c r="A8" s="346"/>
      <c r="B8" s="19" t="s">
        <v>393</v>
      </c>
      <c r="C8" s="261" t="s">
        <v>585</v>
      </c>
    </row>
    <row r="9" spans="1:5" x14ac:dyDescent="0.2">
      <c r="A9" s="346"/>
      <c r="B9" s="19" t="s">
        <v>394</v>
      </c>
      <c r="C9" s="261" t="s">
        <v>585</v>
      </c>
    </row>
    <row r="10" spans="1:5" x14ac:dyDescent="0.2">
      <c r="A10" s="349" t="s">
        <v>326</v>
      </c>
      <c r="B10" s="344"/>
      <c r="C10" s="250"/>
    </row>
    <row r="11" spans="1:5" ht="15.75" thickBot="1" x14ac:dyDescent="0.25">
      <c r="A11" s="350" t="s">
        <v>395</v>
      </c>
      <c r="B11" s="340"/>
      <c r="C11" s="251"/>
    </row>
    <row r="12" spans="1:5" ht="15.75" thickBot="1" x14ac:dyDescent="0.25"/>
    <row r="13" spans="1:5" s="37" customFormat="1" x14ac:dyDescent="0.2">
      <c r="A13" s="345" t="s">
        <v>1</v>
      </c>
      <c r="B13" s="348"/>
      <c r="C13" s="259" t="s">
        <v>980</v>
      </c>
      <c r="D13" s="18"/>
      <c r="E13" s="18"/>
    </row>
    <row r="14" spans="1:5" s="37" customFormat="1" x14ac:dyDescent="0.2">
      <c r="A14" s="349" t="s">
        <v>391</v>
      </c>
      <c r="B14" s="33" t="s">
        <v>215</v>
      </c>
      <c r="C14" s="261" t="s">
        <v>585</v>
      </c>
      <c r="D14" s="18"/>
      <c r="E14" s="18"/>
    </row>
    <row r="15" spans="1:5" s="37" customFormat="1" x14ac:dyDescent="0.2">
      <c r="A15" s="346"/>
      <c r="B15" s="33" t="s">
        <v>216</v>
      </c>
      <c r="C15" s="260" t="s">
        <v>202</v>
      </c>
      <c r="D15" s="18"/>
      <c r="E15" s="18"/>
    </row>
    <row r="16" spans="1:5" s="37" customFormat="1" x14ac:dyDescent="0.2">
      <c r="A16" s="346"/>
      <c r="B16" s="254" t="s">
        <v>217</v>
      </c>
      <c r="C16" s="258" t="s">
        <v>585</v>
      </c>
      <c r="D16" s="18"/>
      <c r="E16" s="18"/>
    </row>
    <row r="17" spans="1:5" s="37" customFormat="1" x14ac:dyDescent="0.2">
      <c r="A17" s="349" t="s">
        <v>0</v>
      </c>
      <c r="B17" s="33" t="s">
        <v>392</v>
      </c>
      <c r="C17" s="260" t="s">
        <v>202</v>
      </c>
      <c r="D17" s="18"/>
      <c r="E17" s="18"/>
    </row>
    <row r="18" spans="1:5" s="37" customFormat="1" x14ac:dyDescent="0.2">
      <c r="A18" s="346"/>
      <c r="B18" s="33" t="s">
        <v>393</v>
      </c>
      <c r="C18" s="261" t="s">
        <v>585</v>
      </c>
      <c r="D18" s="18"/>
      <c r="E18" s="18"/>
    </row>
    <row r="19" spans="1:5" s="37" customFormat="1" x14ac:dyDescent="0.2">
      <c r="A19" s="346"/>
      <c r="B19" s="33" t="s">
        <v>394</v>
      </c>
      <c r="C19" s="261" t="s">
        <v>585</v>
      </c>
      <c r="D19" s="18"/>
      <c r="E19" s="18"/>
    </row>
    <row r="20" spans="1:5" s="37" customFormat="1" x14ac:dyDescent="0.2">
      <c r="A20" s="349" t="s">
        <v>326</v>
      </c>
      <c r="B20" s="344"/>
      <c r="C20" s="250"/>
      <c r="D20" s="18"/>
      <c r="E20" s="18"/>
    </row>
    <row r="21" spans="1:5" s="37" customFormat="1" ht="15.75" thickBot="1" x14ac:dyDescent="0.25">
      <c r="A21" s="350" t="s">
        <v>395</v>
      </c>
      <c r="B21" s="340"/>
      <c r="C21" s="251"/>
      <c r="D21" s="18"/>
      <c r="E21" s="18"/>
    </row>
  </sheetData>
  <mergeCells count="10">
    <mergeCell ref="A4:A6"/>
    <mergeCell ref="A7:A9"/>
    <mergeCell ref="A3:B3"/>
    <mergeCell ref="A10:B10"/>
    <mergeCell ref="A11:B11"/>
    <mergeCell ref="A13:B13"/>
    <mergeCell ref="A14:A16"/>
    <mergeCell ref="A17:A19"/>
    <mergeCell ref="A20:B20"/>
    <mergeCell ref="A21:B2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16"/>
  <sheetViews>
    <sheetView workbookViewId="0">
      <selection activeCell="E25" sqref="E25"/>
    </sheetView>
  </sheetViews>
  <sheetFormatPr defaultRowHeight="15" x14ac:dyDescent="0.2"/>
  <cols>
    <col min="1" max="1" width="34" style="18" bestFit="1" customWidth="1"/>
    <col min="2" max="2" width="17" style="18" bestFit="1" customWidth="1"/>
    <col min="3" max="3" width="19.140625" style="18" customWidth="1"/>
    <col min="4" max="6" width="9.140625" style="18"/>
  </cols>
  <sheetData>
    <row r="2" spans="1:3" ht="15.75" thickBot="1" x14ac:dyDescent="0.25"/>
    <row r="3" spans="1:3" x14ac:dyDescent="0.2">
      <c r="A3" s="305" t="s">
        <v>396</v>
      </c>
      <c r="B3" s="49" t="s">
        <v>397</v>
      </c>
      <c r="C3" s="50" t="s">
        <v>202</v>
      </c>
    </row>
    <row r="4" spans="1:3" x14ac:dyDescent="0.2">
      <c r="A4" s="313"/>
      <c r="B4" s="40" t="s">
        <v>398</v>
      </c>
      <c r="C4" s="51" t="s">
        <v>585</v>
      </c>
    </row>
    <row r="5" spans="1:3" x14ac:dyDescent="0.2">
      <c r="A5" s="313"/>
      <c r="B5" s="40" t="s">
        <v>399</v>
      </c>
      <c r="C5" s="51" t="s">
        <v>585</v>
      </c>
    </row>
    <row r="6" spans="1:3" x14ac:dyDescent="0.2">
      <c r="A6" s="306" t="s">
        <v>400</v>
      </c>
      <c r="B6" s="280"/>
      <c r="C6" s="52">
        <v>20</v>
      </c>
    </row>
    <row r="7" spans="1:3" x14ac:dyDescent="0.2">
      <c r="A7" s="306" t="s">
        <v>401</v>
      </c>
      <c r="B7" s="280"/>
      <c r="C7" s="52">
        <v>101.325</v>
      </c>
    </row>
    <row r="8" spans="1:3" x14ac:dyDescent="0.2">
      <c r="A8" s="306" t="s">
        <v>402</v>
      </c>
      <c r="B8" s="280"/>
      <c r="C8" s="52">
        <v>40</v>
      </c>
    </row>
    <row r="9" spans="1:3" x14ac:dyDescent="0.2">
      <c r="A9" s="306" t="s">
        <v>403</v>
      </c>
      <c r="B9" s="280"/>
      <c r="C9" s="52">
        <v>10</v>
      </c>
    </row>
    <row r="10" spans="1:3" x14ac:dyDescent="0.2">
      <c r="A10" s="306" t="s">
        <v>404</v>
      </c>
      <c r="B10" s="280"/>
      <c r="C10" s="52">
        <v>10</v>
      </c>
    </row>
    <row r="11" spans="1:3" x14ac:dyDescent="0.2">
      <c r="A11" s="306" t="s">
        <v>405</v>
      </c>
      <c r="B11" s="40" t="s">
        <v>397</v>
      </c>
      <c r="C11" s="51" t="s">
        <v>585</v>
      </c>
    </row>
    <row r="12" spans="1:3" x14ac:dyDescent="0.2">
      <c r="A12" s="313"/>
      <c r="B12" s="40" t="s">
        <v>398</v>
      </c>
      <c r="C12" s="51" t="s">
        <v>585</v>
      </c>
    </row>
    <row r="13" spans="1:3" x14ac:dyDescent="0.2">
      <c r="A13" s="313"/>
      <c r="B13" s="40" t="s">
        <v>399</v>
      </c>
      <c r="C13" s="51" t="s">
        <v>585</v>
      </c>
    </row>
    <row r="14" spans="1:3" x14ac:dyDescent="0.2">
      <c r="A14" s="313"/>
      <c r="B14" s="40" t="s">
        <v>406</v>
      </c>
      <c r="C14" s="52" t="s">
        <v>202</v>
      </c>
    </row>
    <row r="15" spans="1:3" x14ac:dyDescent="0.2">
      <c r="A15" s="313"/>
      <c r="B15" s="40" t="s">
        <v>66</v>
      </c>
      <c r="C15" s="51" t="s">
        <v>585</v>
      </c>
    </row>
    <row r="16" spans="1:3" ht="15.75" thickBot="1" x14ac:dyDescent="0.25">
      <c r="A16" s="307" t="s">
        <v>407</v>
      </c>
      <c r="B16" s="302"/>
      <c r="C16" s="93">
        <v>5.8</v>
      </c>
    </row>
  </sheetData>
  <mergeCells count="8">
    <mergeCell ref="A10:B10"/>
    <mergeCell ref="A16:B16"/>
    <mergeCell ref="A3:A5"/>
    <mergeCell ref="A11:A15"/>
    <mergeCell ref="A6:B6"/>
    <mergeCell ref="A7:B7"/>
    <mergeCell ref="A8:B8"/>
    <mergeCell ref="A9:B9"/>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B22"/>
  <sheetViews>
    <sheetView zoomScale="98" zoomScaleNormal="98" workbookViewId="0">
      <selection activeCell="BD11" sqref="BD11"/>
    </sheetView>
  </sheetViews>
  <sheetFormatPr defaultColWidth="9.140625" defaultRowHeight="15" outlineLevelCol="1" x14ac:dyDescent="0.25"/>
  <cols>
    <col min="1" max="1" width="38.42578125" style="122" bestFit="1" customWidth="1"/>
    <col min="2" max="6" width="8.7109375" style="122" customWidth="1" outlineLevel="1"/>
    <col min="7" max="7" width="12.28515625" style="122" customWidth="1" outlineLevel="1"/>
    <col min="8" max="8" width="10.85546875" style="122" customWidth="1" outlineLevel="1"/>
    <col min="9" max="9" width="9" style="122" customWidth="1" outlineLevel="1"/>
    <col min="10" max="11" width="8.7109375" style="122" customWidth="1" outlineLevel="1"/>
    <col min="12" max="12" width="11" style="122" customWidth="1" outlineLevel="1"/>
    <col min="13" max="14" width="8.7109375" style="122" customWidth="1" outlineLevel="1"/>
    <col min="15" max="15" width="10" style="122" customWidth="1" outlineLevel="1"/>
    <col min="16" max="16" width="9.140625" style="122"/>
    <col min="17" max="22" width="8.7109375" style="122" customWidth="1" outlineLevel="1"/>
    <col min="23" max="23" width="4.85546875" style="122" customWidth="1" outlineLevel="1"/>
    <col min="24" max="24" width="8.7109375" style="122" customWidth="1" outlineLevel="1"/>
    <col min="25" max="25" width="5.28515625" style="122" customWidth="1" outlineLevel="1"/>
    <col min="26" max="31" width="8.7109375" style="122" customWidth="1" outlineLevel="1"/>
    <col min="32" max="32" width="4.140625" style="122" customWidth="1"/>
    <col min="33" max="36" width="6.5703125" style="122" customWidth="1" outlineLevel="1"/>
    <col min="37" max="37" width="3.42578125" style="122" customWidth="1" outlineLevel="1"/>
    <col min="38" max="41" width="6.5703125" style="122" customWidth="1" outlineLevel="1"/>
    <col min="42" max="42" width="4.140625" style="122" customWidth="1" outlineLevel="1"/>
    <col min="43" max="47" width="6.5703125" style="122" customWidth="1" outlineLevel="1"/>
    <col min="48" max="48" width="3.42578125" style="122" customWidth="1" outlineLevel="1"/>
    <col min="49" max="53" width="6.5703125" style="122" customWidth="1" outlineLevel="1"/>
    <col min="54" max="54" width="8.7109375" style="122" customWidth="1" outlineLevel="1"/>
    <col min="55" max="16384" width="9.140625" style="122"/>
  </cols>
  <sheetData>
    <row r="3" spans="1:54" ht="60.75" x14ac:dyDescent="0.25">
      <c r="A3" s="132"/>
      <c r="B3" s="155" t="s">
        <v>190</v>
      </c>
      <c r="C3" s="151" t="s">
        <v>731</v>
      </c>
      <c r="D3" s="154" t="s">
        <v>730</v>
      </c>
      <c r="E3" s="151" t="s">
        <v>729</v>
      </c>
      <c r="F3" s="154" t="s">
        <v>728</v>
      </c>
      <c r="G3" s="151" t="s">
        <v>727</v>
      </c>
      <c r="H3" s="154" t="s">
        <v>726</v>
      </c>
      <c r="I3" s="153" t="s">
        <v>725</v>
      </c>
      <c r="J3" s="152" t="s">
        <v>199</v>
      </c>
      <c r="K3" s="153" t="s">
        <v>724</v>
      </c>
      <c r="L3" s="154" t="s">
        <v>723</v>
      </c>
      <c r="M3" s="153" t="s">
        <v>722</v>
      </c>
      <c r="N3" s="152" t="s">
        <v>721</v>
      </c>
      <c r="O3" s="151" t="s">
        <v>720</v>
      </c>
      <c r="P3" s="131"/>
      <c r="Q3" s="151" t="s">
        <v>713</v>
      </c>
      <c r="R3" s="154" t="s">
        <v>719</v>
      </c>
      <c r="S3" s="151" t="s">
        <v>718</v>
      </c>
      <c r="T3" s="154" t="s">
        <v>717</v>
      </c>
      <c r="U3" s="151" t="s">
        <v>716</v>
      </c>
      <c r="V3" s="154" t="s">
        <v>715</v>
      </c>
      <c r="X3" s="157" t="s">
        <v>714</v>
      </c>
      <c r="Z3" s="158" t="s">
        <v>713</v>
      </c>
      <c r="AA3" s="158" t="s">
        <v>712</v>
      </c>
      <c r="AB3" s="158" t="s">
        <v>711</v>
      </c>
      <c r="AC3" s="158" t="s">
        <v>710</v>
      </c>
      <c r="AD3" s="158" t="s">
        <v>709</v>
      </c>
      <c r="AE3" s="158" t="s">
        <v>708</v>
      </c>
      <c r="AG3" s="159" t="s">
        <v>703</v>
      </c>
      <c r="AH3" s="159" t="s">
        <v>702</v>
      </c>
      <c r="AI3" s="159" t="s">
        <v>701</v>
      </c>
      <c r="AJ3" s="159" t="s">
        <v>700</v>
      </c>
      <c r="AK3" s="151"/>
      <c r="AL3" s="159" t="s">
        <v>707</v>
      </c>
      <c r="AM3" s="159" t="s">
        <v>706</v>
      </c>
      <c r="AN3" s="159" t="s">
        <v>705</v>
      </c>
      <c r="AO3" s="159" t="s">
        <v>704</v>
      </c>
      <c r="AP3" s="150"/>
      <c r="AQ3" s="160" t="s">
        <v>703</v>
      </c>
      <c r="AR3" s="160" t="s">
        <v>702</v>
      </c>
      <c r="AS3" s="160" t="s">
        <v>701</v>
      </c>
      <c r="AT3" s="160" t="s">
        <v>700</v>
      </c>
      <c r="AU3" s="160" t="s">
        <v>699</v>
      </c>
      <c r="AV3" s="149"/>
      <c r="AW3" s="160" t="s">
        <v>698</v>
      </c>
      <c r="AX3" s="160" t="s">
        <v>697</v>
      </c>
      <c r="AY3" s="160" t="s">
        <v>696</v>
      </c>
      <c r="AZ3" s="160" t="s">
        <v>695</v>
      </c>
      <c r="BA3" s="160" t="s">
        <v>694</v>
      </c>
    </row>
    <row r="4" spans="1:54" x14ac:dyDescent="0.25">
      <c r="A4" s="132" t="s">
        <v>693</v>
      </c>
      <c r="B4" s="129" t="s">
        <v>202</v>
      </c>
      <c r="C4" s="130" t="s">
        <v>202</v>
      </c>
      <c r="D4" s="129" t="s">
        <v>202</v>
      </c>
      <c r="E4" s="130" t="s">
        <v>585</v>
      </c>
      <c r="F4" s="129" t="s">
        <v>585</v>
      </c>
      <c r="G4" s="130" t="s">
        <v>682</v>
      </c>
      <c r="H4" s="129" t="s">
        <v>682</v>
      </c>
      <c r="I4" s="130" t="s">
        <v>682</v>
      </c>
      <c r="J4" s="129" t="s">
        <v>585</v>
      </c>
      <c r="K4" s="130" t="s">
        <v>682</v>
      </c>
      <c r="L4" s="129" t="s">
        <v>682</v>
      </c>
      <c r="M4" s="130" t="s">
        <v>682</v>
      </c>
      <c r="N4" s="129" t="s">
        <v>682</v>
      </c>
      <c r="O4" s="130" t="s">
        <v>682</v>
      </c>
      <c r="P4" s="131"/>
      <c r="Q4" s="130" t="s">
        <v>679</v>
      </c>
      <c r="R4" s="129" t="s">
        <v>679</v>
      </c>
      <c r="S4" s="130" t="s">
        <v>679</v>
      </c>
      <c r="T4" s="129" t="s">
        <v>679</v>
      </c>
      <c r="U4" s="130" t="s">
        <v>585</v>
      </c>
      <c r="V4" s="129" t="s">
        <v>679</v>
      </c>
      <c r="X4" s="128" t="s">
        <v>679</v>
      </c>
      <c r="Z4" s="127" t="s">
        <v>585</v>
      </c>
      <c r="AA4" s="127" t="s">
        <v>585</v>
      </c>
      <c r="AB4" s="127" t="s">
        <v>585</v>
      </c>
      <c r="AC4" s="127" t="s">
        <v>585</v>
      </c>
      <c r="AD4" s="127" t="s">
        <v>585</v>
      </c>
      <c r="AE4" s="127" t="s">
        <v>585</v>
      </c>
      <c r="AG4" s="139" t="s">
        <v>678</v>
      </c>
      <c r="AH4" s="126" t="s">
        <v>202</v>
      </c>
      <c r="AI4" s="126" t="s">
        <v>202</v>
      </c>
      <c r="AJ4" s="126" t="s">
        <v>202</v>
      </c>
      <c r="AK4" s="161"/>
      <c r="AL4" s="139" t="s">
        <v>678</v>
      </c>
      <c r="AM4" s="126" t="s">
        <v>202</v>
      </c>
      <c r="AN4" s="126" t="s">
        <v>202</v>
      </c>
      <c r="AO4" s="126" t="s">
        <v>202</v>
      </c>
      <c r="AP4" s="148"/>
      <c r="AQ4" s="124" t="s">
        <v>585</v>
      </c>
      <c r="AR4" s="124" t="s">
        <v>585</v>
      </c>
      <c r="AS4" s="124" t="s">
        <v>585</v>
      </c>
      <c r="AT4" s="124" t="s">
        <v>823</v>
      </c>
      <c r="AU4" s="124" t="s">
        <v>585</v>
      </c>
      <c r="AV4" s="161"/>
      <c r="AW4" s="124" t="s">
        <v>585</v>
      </c>
      <c r="AX4" s="124" t="s">
        <v>585</v>
      </c>
      <c r="AY4" s="124" t="s">
        <v>585</v>
      </c>
      <c r="AZ4" s="124" t="s">
        <v>823</v>
      </c>
      <c r="BA4" s="124" t="s">
        <v>585</v>
      </c>
    </row>
    <row r="5" spans="1:54" x14ac:dyDescent="0.25">
      <c r="A5" s="132" t="s">
        <v>692</v>
      </c>
      <c r="B5" s="129" t="s">
        <v>202</v>
      </c>
      <c r="C5" s="130" t="s">
        <v>202</v>
      </c>
      <c r="D5" s="129" t="s">
        <v>202</v>
      </c>
      <c r="E5" s="130" t="s">
        <v>585</v>
      </c>
      <c r="F5" s="129" t="s">
        <v>585</v>
      </c>
      <c r="G5" s="130" t="s">
        <v>682</v>
      </c>
      <c r="H5" s="129" t="s">
        <v>682</v>
      </c>
      <c r="I5" s="130" t="s">
        <v>682</v>
      </c>
      <c r="J5" s="129" t="s">
        <v>202</v>
      </c>
      <c r="K5" s="130" t="s">
        <v>682</v>
      </c>
      <c r="L5" s="129" t="s">
        <v>682</v>
      </c>
      <c r="M5" s="130" t="s">
        <v>682</v>
      </c>
      <c r="N5" s="129" t="s">
        <v>682</v>
      </c>
      <c r="O5" s="130" t="s">
        <v>682</v>
      </c>
      <c r="P5" s="131"/>
      <c r="Q5" s="130" t="s">
        <v>679</v>
      </c>
      <c r="R5" s="129" t="s">
        <v>679</v>
      </c>
      <c r="S5" s="130" t="s">
        <v>679</v>
      </c>
      <c r="T5" s="129" t="s">
        <v>679</v>
      </c>
      <c r="U5" s="130" t="s">
        <v>585</v>
      </c>
      <c r="V5" s="129" t="s">
        <v>679</v>
      </c>
      <c r="X5" s="128" t="s">
        <v>679</v>
      </c>
      <c r="Z5" s="127" t="s">
        <v>585</v>
      </c>
      <c r="AA5" s="127" t="s">
        <v>585</v>
      </c>
      <c r="AB5" s="127" t="s">
        <v>585</v>
      </c>
      <c r="AC5" s="127" t="s">
        <v>585</v>
      </c>
      <c r="AD5" s="127" t="s">
        <v>585</v>
      </c>
      <c r="AE5" s="127" t="s">
        <v>585</v>
      </c>
      <c r="AG5" s="139" t="s">
        <v>678</v>
      </c>
      <c r="AH5" s="126" t="s">
        <v>202</v>
      </c>
      <c r="AI5" s="126" t="s">
        <v>202</v>
      </c>
      <c r="AJ5" s="126" t="s">
        <v>202</v>
      </c>
      <c r="AK5" s="162"/>
      <c r="AL5" s="139" t="s">
        <v>678</v>
      </c>
      <c r="AM5" s="126" t="s">
        <v>202</v>
      </c>
      <c r="AN5" s="126" t="s">
        <v>202</v>
      </c>
      <c r="AO5" s="126" t="s">
        <v>202</v>
      </c>
      <c r="AP5" s="147"/>
      <c r="AQ5" s="124" t="s">
        <v>585</v>
      </c>
      <c r="AR5" s="124" t="s">
        <v>585</v>
      </c>
      <c r="AS5" s="124" t="s">
        <v>585</v>
      </c>
      <c r="AT5" s="124" t="s">
        <v>823</v>
      </c>
      <c r="AU5" s="124" t="s">
        <v>585</v>
      </c>
      <c r="AV5" s="162"/>
      <c r="AW5" s="124" t="s">
        <v>585</v>
      </c>
      <c r="AX5" s="124" t="s">
        <v>585</v>
      </c>
      <c r="AY5" s="124" t="s">
        <v>585</v>
      </c>
      <c r="AZ5" s="124" t="s">
        <v>823</v>
      </c>
      <c r="BA5" s="124" t="s">
        <v>585</v>
      </c>
    </row>
    <row r="6" spans="1:54" ht="30" x14ac:dyDescent="0.25">
      <c r="A6" s="132" t="s">
        <v>691</v>
      </c>
      <c r="B6" s="129" t="s">
        <v>202</v>
      </c>
      <c r="C6" s="130" t="s">
        <v>202</v>
      </c>
      <c r="D6" s="129" t="s">
        <v>202</v>
      </c>
      <c r="E6" s="130" t="s">
        <v>585</v>
      </c>
      <c r="F6" s="129" t="s">
        <v>585</v>
      </c>
      <c r="G6" s="130" t="s">
        <v>682</v>
      </c>
      <c r="H6" s="129" t="s">
        <v>682</v>
      </c>
      <c r="I6" s="130" t="s">
        <v>682</v>
      </c>
      <c r="J6" s="129" t="s">
        <v>585</v>
      </c>
      <c r="K6" s="130" t="s">
        <v>202</v>
      </c>
      <c r="L6" s="129" t="s">
        <v>682</v>
      </c>
      <c r="M6" s="130" t="s">
        <v>682</v>
      </c>
      <c r="N6" s="129" t="s">
        <v>682</v>
      </c>
      <c r="O6" s="130" t="s">
        <v>682</v>
      </c>
      <c r="P6" s="131"/>
      <c r="Q6" s="130" t="s">
        <v>679</v>
      </c>
      <c r="R6" s="129" t="s">
        <v>679</v>
      </c>
      <c r="S6" s="130" t="s">
        <v>679</v>
      </c>
      <c r="T6" s="129" t="s">
        <v>679</v>
      </c>
      <c r="U6" s="130" t="s">
        <v>585</v>
      </c>
      <c r="V6" s="140" t="s">
        <v>690</v>
      </c>
      <c r="X6" s="128" t="s">
        <v>679</v>
      </c>
      <c r="Z6" s="127" t="s">
        <v>585</v>
      </c>
      <c r="AA6" s="127" t="s">
        <v>585</v>
      </c>
      <c r="AB6" s="127" t="s">
        <v>585</v>
      </c>
      <c r="AC6" s="127" t="s">
        <v>585</v>
      </c>
      <c r="AD6" s="127" t="s">
        <v>585</v>
      </c>
      <c r="AE6" s="127" t="s">
        <v>585</v>
      </c>
      <c r="AG6" s="139" t="s">
        <v>678</v>
      </c>
      <c r="AH6" s="126" t="s">
        <v>202</v>
      </c>
      <c r="AI6" s="126" t="s">
        <v>202</v>
      </c>
      <c r="AJ6" s="126" t="s">
        <v>202</v>
      </c>
      <c r="AK6" s="163"/>
      <c r="AL6" s="139" t="s">
        <v>678</v>
      </c>
      <c r="AM6" s="126" t="s">
        <v>202</v>
      </c>
      <c r="AN6" s="126" t="s">
        <v>202</v>
      </c>
      <c r="AO6" s="126" t="s">
        <v>202</v>
      </c>
      <c r="AP6" s="147"/>
      <c r="AQ6" s="124" t="s">
        <v>585</v>
      </c>
      <c r="AR6" s="124" t="s">
        <v>585</v>
      </c>
      <c r="AS6" s="124" t="s">
        <v>585</v>
      </c>
      <c r="AT6" s="124" t="s">
        <v>823</v>
      </c>
      <c r="AU6" s="124" t="s">
        <v>585</v>
      </c>
      <c r="AV6" s="163"/>
      <c r="AW6" s="124" t="s">
        <v>585</v>
      </c>
      <c r="AX6" s="124" t="s">
        <v>585</v>
      </c>
      <c r="AY6" s="124" t="s">
        <v>585</v>
      </c>
      <c r="AZ6" s="124" t="s">
        <v>823</v>
      </c>
      <c r="BA6" s="124" t="s">
        <v>585</v>
      </c>
    </row>
    <row r="7" spans="1:54" ht="6" customHeight="1" x14ac:dyDescent="0.25">
      <c r="A7" s="132"/>
      <c r="B7" s="129"/>
      <c r="C7" s="132"/>
      <c r="D7" s="138"/>
      <c r="E7" s="132"/>
      <c r="F7" s="138"/>
      <c r="G7" s="132"/>
      <c r="H7" s="138"/>
      <c r="I7" s="132"/>
      <c r="J7" s="138"/>
      <c r="K7" s="132"/>
      <c r="L7" s="138"/>
      <c r="M7" s="132"/>
      <c r="N7" s="138"/>
      <c r="O7" s="132"/>
      <c r="P7" s="131"/>
      <c r="Q7" s="133"/>
      <c r="R7" s="137"/>
      <c r="S7" s="133"/>
      <c r="T7" s="146"/>
      <c r="U7" s="145"/>
      <c r="V7" s="144"/>
      <c r="X7" s="143"/>
      <c r="Z7" s="133"/>
      <c r="AA7" s="133"/>
      <c r="AB7" s="133"/>
      <c r="AC7" s="134"/>
      <c r="AD7" s="133"/>
      <c r="AG7" s="142"/>
      <c r="AH7" s="142"/>
      <c r="AI7" s="142"/>
      <c r="AJ7" s="142"/>
      <c r="AK7" s="142"/>
      <c r="AL7" s="141"/>
      <c r="AM7" s="141"/>
      <c r="AN7" s="141"/>
      <c r="AO7" s="141"/>
      <c r="AP7" s="141"/>
      <c r="AQ7" s="142"/>
      <c r="AR7" s="142"/>
      <c r="AS7" s="142"/>
      <c r="AT7" s="142"/>
      <c r="AU7" s="142"/>
      <c r="AV7" s="142"/>
      <c r="AW7" s="141"/>
      <c r="AX7" s="141"/>
      <c r="AY7" s="141"/>
      <c r="AZ7" s="141"/>
      <c r="BA7" s="141"/>
    </row>
    <row r="8" spans="1:54" x14ac:dyDescent="0.25">
      <c r="A8" s="132" t="s">
        <v>689</v>
      </c>
      <c r="B8" s="129" t="s">
        <v>202</v>
      </c>
      <c r="C8" s="130" t="s">
        <v>585</v>
      </c>
      <c r="D8" s="129" t="s">
        <v>683</v>
      </c>
      <c r="E8" s="130" t="s">
        <v>202</v>
      </c>
      <c r="F8" s="129" t="s">
        <v>202</v>
      </c>
      <c r="G8" s="130" t="s">
        <v>682</v>
      </c>
      <c r="H8" s="129" t="s">
        <v>682</v>
      </c>
      <c r="I8" s="130" t="s">
        <v>682</v>
      </c>
      <c r="J8" s="129" t="s">
        <v>585</v>
      </c>
      <c r="K8" s="130" t="s">
        <v>682</v>
      </c>
      <c r="L8" s="129" t="s">
        <v>682</v>
      </c>
      <c r="M8" s="130" t="s">
        <v>682</v>
      </c>
      <c r="N8" s="129" t="s">
        <v>682</v>
      </c>
      <c r="O8" s="130" t="s">
        <v>682</v>
      </c>
      <c r="P8" s="131"/>
      <c r="Q8" s="130" t="s">
        <v>585</v>
      </c>
      <c r="R8" s="129" t="s">
        <v>585</v>
      </c>
      <c r="S8" s="130" t="s">
        <v>585</v>
      </c>
      <c r="T8" s="129" t="s">
        <v>585</v>
      </c>
      <c r="U8" s="130" t="s">
        <v>585</v>
      </c>
      <c r="V8" s="129" t="s">
        <v>585</v>
      </c>
      <c r="X8" s="128" t="s">
        <v>679</v>
      </c>
      <c r="Z8" s="127" t="s">
        <v>679</v>
      </c>
      <c r="AA8" s="127" t="s">
        <v>679</v>
      </c>
      <c r="AB8" s="127" t="s">
        <v>679</v>
      </c>
      <c r="AC8" s="127" t="s">
        <v>679</v>
      </c>
      <c r="AD8" s="127" t="s">
        <v>679</v>
      </c>
      <c r="AE8" s="127" t="s">
        <v>679</v>
      </c>
      <c r="AG8" s="126" t="s">
        <v>585</v>
      </c>
      <c r="AH8" s="126" t="s">
        <v>585</v>
      </c>
      <c r="AI8" s="126" t="s">
        <v>585</v>
      </c>
      <c r="AJ8" s="126" t="s">
        <v>585</v>
      </c>
      <c r="AK8" s="161"/>
      <c r="AL8" s="126" t="s">
        <v>585</v>
      </c>
      <c r="AM8" s="126" t="s">
        <v>585</v>
      </c>
      <c r="AN8" s="126" t="s">
        <v>585</v>
      </c>
      <c r="AO8" s="126" t="s">
        <v>585</v>
      </c>
      <c r="AP8" s="141"/>
      <c r="AQ8" s="124" t="s">
        <v>202</v>
      </c>
      <c r="AR8" s="124" t="s">
        <v>202</v>
      </c>
      <c r="AS8" s="124" t="s">
        <v>202</v>
      </c>
      <c r="AT8" s="124" t="s">
        <v>823</v>
      </c>
      <c r="AU8" s="125" t="s">
        <v>678</v>
      </c>
      <c r="AV8" s="161"/>
      <c r="AW8" s="124" t="s">
        <v>202</v>
      </c>
      <c r="AX8" s="124" t="s">
        <v>202</v>
      </c>
      <c r="AY8" s="124" t="s">
        <v>202</v>
      </c>
      <c r="AZ8" s="124" t="s">
        <v>823</v>
      </c>
      <c r="BA8" s="125" t="s">
        <v>678</v>
      </c>
    </row>
    <row r="9" spans="1:54" ht="5.25" customHeight="1" x14ac:dyDescent="0.25">
      <c r="A9" s="132"/>
      <c r="B9" s="129"/>
      <c r="C9" s="132"/>
      <c r="D9" s="138"/>
      <c r="E9" s="132"/>
      <c r="F9" s="138"/>
      <c r="G9" s="132"/>
      <c r="H9" s="138"/>
      <c r="I9" s="132"/>
      <c r="J9" s="138"/>
      <c r="K9" s="132"/>
      <c r="L9" s="138"/>
      <c r="M9" s="132"/>
      <c r="N9" s="138"/>
      <c r="O9" s="132"/>
      <c r="P9" s="131"/>
      <c r="Q9" s="133"/>
      <c r="R9" s="137"/>
      <c r="S9" s="133"/>
      <c r="T9" s="136"/>
      <c r="U9" s="133"/>
      <c r="V9" s="135"/>
      <c r="Z9" s="133"/>
      <c r="AA9" s="133"/>
      <c r="AB9" s="133"/>
      <c r="AC9" s="134"/>
      <c r="AD9" s="133"/>
      <c r="AK9" s="131"/>
      <c r="AV9" s="131"/>
    </row>
    <row r="10" spans="1:54" x14ac:dyDescent="0.25">
      <c r="A10" s="132" t="s">
        <v>688</v>
      </c>
      <c r="B10" s="129" t="s">
        <v>202</v>
      </c>
      <c r="C10" s="130" t="s">
        <v>202</v>
      </c>
      <c r="D10" s="129" t="s">
        <v>202</v>
      </c>
      <c r="E10" s="130" t="s">
        <v>585</v>
      </c>
      <c r="F10" s="129" t="s">
        <v>585</v>
      </c>
      <c r="G10" s="130" t="s">
        <v>682</v>
      </c>
      <c r="H10" s="129" t="s">
        <v>682</v>
      </c>
      <c r="I10" s="130" t="s">
        <v>682</v>
      </c>
      <c r="J10" s="129" t="s">
        <v>585</v>
      </c>
      <c r="K10" s="130" t="s">
        <v>682</v>
      </c>
      <c r="L10" s="129" t="s">
        <v>682</v>
      </c>
      <c r="M10" s="130" t="s">
        <v>682</v>
      </c>
      <c r="N10" s="129" t="s">
        <v>682</v>
      </c>
      <c r="O10" s="130" t="s">
        <v>682</v>
      </c>
      <c r="P10" s="131"/>
      <c r="Q10" s="130" t="s">
        <v>686</v>
      </c>
      <c r="R10" s="129" t="s">
        <v>686</v>
      </c>
      <c r="S10" s="130" t="s">
        <v>686</v>
      </c>
      <c r="T10" s="129" t="s">
        <v>679</v>
      </c>
      <c r="U10" s="130" t="s">
        <v>585</v>
      </c>
      <c r="V10" s="129" t="s">
        <v>686</v>
      </c>
      <c r="X10" s="128" t="s">
        <v>680</v>
      </c>
      <c r="Z10" s="127" t="s">
        <v>585</v>
      </c>
      <c r="AA10" s="127" t="s">
        <v>585</v>
      </c>
      <c r="AB10" s="127" t="s">
        <v>585</v>
      </c>
      <c r="AC10" s="127" t="s">
        <v>585</v>
      </c>
      <c r="AD10" s="127" t="s">
        <v>585</v>
      </c>
      <c r="AE10" s="127" t="s">
        <v>585</v>
      </c>
      <c r="AG10" s="139" t="s">
        <v>678</v>
      </c>
      <c r="AH10" s="126" t="s">
        <v>202</v>
      </c>
      <c r="AI10" s="126" t="s">
        <v>202</v>
      </c>
      <c r="AJ10" s="126" t="s">
        <v>202</v>
      </c>
      <c r="AK10" s="161"/>
      <c r="AL10" s="139" t="s">
        <v>678</v>
      </c>
      <c r="AM10" s="126" t="s">
        <v>202</v>
      </c>
      <c r="AN10" s="126" t="s">
        <v>202</v>
      </c>
      <c r="AO10" s="126" t="s">
        <v>202</v>
      </c>
      <c r="AQ10" s="124" t="s">
        <v>585</v>
      </c>
      <c r="AR10" s="124" t="s">
        <v>585</v>
      </c>
      <c r="AS10" s="124" t="s">
        <v>585</v>
      </c>
      <c r="AT10" s="124" t="s">
        <v>823</v>
      </c>
      <c r="AU10" s="124" t="s">
        <v>585</v>
      </c>
      <c r="AV10" s="161"/>
      <c r="AW10" s="124" t="s">
        <v>585</v>
      </c>
      <c r="AX10" s="124" t="s">
        <v>585</v>
      </c>
      <c r="AY10" s="124" t="s">
        <v>585</v>
      </c>
      <c r="AZ10" s="124" t="s">
        <v>823</v>
      </c>
      <c r="BA10" s="124" t="s">
        <v>585</v>
      </c>
    </row>
    <row r="11" spans="1:54" ht="45" x14ac:dyDescent="0.25">
      <c r="A11" s="132" t="s">
        <v>687</v>
      </c>
      <c r="B11" s="129" t="s">
        <v>202</v>
      </c>
      <c r="C11" s="130" t="s">
        <v>202</v>
      </c>
      <c r="D11" s="129" t="s">
        <v>202</v>
      </c>
      <c r="E11" s="130" t="s">
        <v>585</v>
      </c>
      <c r="F11" s="129" t="s">
        <v>585</v>
      </c>
      <c r="G11" s="130" t="s">
        <v>682</v>
      </c>
      <c r="H11" s="129" t="s">
        <v>682</v>
      </c>
      <c r="I11" s="130" t="s">
        <v>682</v>
      </c>
      <c r="J11" s="129" t="s">
        <v>585</v>
      </c>
      <c r="K11" s="130" t="s">
        <v>202</v>
      </c>
      <c r="L11" s="129" t="s">
        <v>682</v>
      </c>
      <c r="M11" s="130" t="s">
        <v>682</v>
      </c>
      <c r="N11" s="129" t="s">
        <v>682</v>
      </c>
      <c r="O11" s="130" t="s">
        <v>682</v>
      </c>
      <c r="P11" s="131"/>
      <c r="Q11" s="130" t="s">
        <v>686</v>
      </c>
      <c r="R11" s="129" t="s">
        <v>686</v>
      </c>
      <c r="S11" s="130" t="s">
        <v>686</v>
      </c>
      <c r="T11" s="129" t="s">
        <v>679</v>
      </c>
      <c r="U11" s="130" t="s">
        <v>585</v>
      </c>
      <c r="V11" s="140" t="s">
        <v>685</v>
      </c>
      <c r="X11" s="128" t="s">
        <v>680</v>
      </c>
      <c r="Z11" s="127" t="s">
        <v>585</v>
      </c>
      <c r="AA11" s="127" t="s">
        <v>585</v>
      </c>
      <c r="AB11" s="127" t="s">
        <v>585</v>
      </c>
      <c r="AC11" s="127" t="s">
        <v>585</v>
      </c>
      <c r="AD11" s="127" t="s">
        <v>585</v>
      </c>
      <c r="AE11" s="127" t="s">
        <v>585</v>
      </c>
      <c r="AG11" s="139" t="s">
        <v>678</v>
      </c>
      <c r="AH11" s="126" t="s">
        <v>202</v>
      </c>
      <c r="AI11" s="126" t="s">
        <v>202</v>
      </c>
      <c r="AJ11" s="126" t="s">
        <v>202</v>
      </c>
      <c r="AK11" s="163"/>
      <c r="AL11" s="139" t="s">
        <v>678</v>
      </c>
      <c r="AM11" s="126" t="s">
        <v>202</v>
      </c>
      <c r="AN11" s="126" t="s">
        <v>202</v>
      </c>
      <c r="AO11" s="126" t="s">
        <v>202</v>
      </c>
      <c r="AQ11" s="124" t="s">
        <v>585</v>
      </c>
      <c r="AR11" s="124" t="s">
        <v>585</v>
      </c>
      <c r="AS11" s="124" t="s">
        <v>585</v>
      </c>
      <c r="AT11" s="124" t="s">
        <v>823</v>
      </c>
      <c r="AU11" s="124" t="s">
        <v>585</v>
      </c>
      <c r="AV11" s="163"/>
      <c r="AW11" s="124" t="s">
        <v>585</v>
      </c>
      <c r="AX11" s="124" t="s">
        <v>585</v>
      </c>
      <c r="AY11" s="124" t="s">
        <v>585</v>
      </c>
      <c r="AZ11" s="124" t="s">
        <v>823</v>
      </c>
      <c r="BA11" s="124" t="s">
        <v>585</v>
      </c>
    </row>
    <row r="12" spans="1:54" ht="5.25" customHeight="1" x14ac:dyDescent="0.25">
      <c r="A12" s="132"/>
      <c r="B12" s="129"/>
      <c r="C12" s="132"/>
      <c r="D12" s="138"/>
      <c r="E12" s="132"/>
      <c r="F12" s="138"/>
      <c r="G12" s="132"/>
      <c r="H12" s="138"/>
      <c r="I12" s="132"/>
      <c r="J12" s="138"/>
      <c r="K12" s="132"/>
      <c r="L12" s="138"/>
      <c r="M12" s="132"/>
      <c r="N12" s="138"/>
      <c r="O12" s="132"/>
      <c r="P12" s="131"/>
      <c r="Q12" s="133"/>
      <c r="R12" s="137"/>
      <c r="S12" s="133"/>
      <c r="T12" s="136"/>
      <c r="U12" s="133"/>
      <c r="V12" s="135"/>
      <c r="Z12" s="133"/>
      <c r="AA12" s="133"/>
      <c r="AB12" s="133"/>
      <c r="AC12" s="134"/>
      <c r="AD12" s="133"/>
      <c r="AK12" s="131"/>
      <c r="AV12" s="131"/>
    </row>
    <row r="13" spans="1:54" x14ac:dyDescent="0.25">
      <c r="A13" s="132" t="s">
        <v>684</v>
      </c>
      <c r="B13" s="129" t="s">
        <v>202</v>
      </c>
      <c r="C13" s="130" t="s">
        <v>202</v>
      </c>
      <c r="D13" s="129" t="s">
        <v>683</v>
      </c>
      <c r="E13" s="130" t="s">
        <v>202</v>
      </c>
      <c r="F13" s="129" t="s">
        <v>202</v>
      </c>
      <c r="G13" s="130" t="s">
        <v>682</v>
      </c>
      <c r="H13" s="129" t="s">
        <v>682</v>
      </c>
      <c r="I13" s="130" t="s">
        <v>682</v>
      </c>
      <c r="J13" s="129" t="s">
        <v>585</v>
      </c>
      <c r="K13" s="130" t="s">
        <v>682</v>
      </c>
      <c r="L13" s="129" t="s">
        <v>682</v>
      </c>
      <c r="M13" s="130" t="s">
        <v>682</v>
      </c>
      <c r="N13" s="129" t="s">
        <v>682</v>
      </c>
      <c r="O13" s="130" t="s">
        <v>682</v>
      </c>
      <c r="P13" s="131"/>
      <c r="Q13" s="130" t="s">
        <v>681</v>
      </c>
      <c r="R13" s="129" t="s">
        <v>681</v>
      </c>
      <c r="S13" s="130" t="s">
        <v>681</v>
      </c>
      <c r="T13" s="129" t="s">
        <v>679</v>
      </c>
      <c r="U13" s="130" t="s">
        <v>585</v>
      </c>
      <c r="V13" s="129" t="s">
        <v>681</v>
      </c>
      <c r="X13" s="128" t="s">
        <v>680</v>
      </c>
      <c r="Z13" s="127" t="s">
        <v>679</v>
      </c>
      <c r="AA13" s="127" t="s">
        <v>679</v>
      </c>
      <c r="AB13" s="127" t="s">
        <v>679</v>
      </c>
      <c r="AC13" s="127" t="s">
        <v>679</v>
      </c>
      <c r="AD13" s="127" t="s">
        <v>679</v>
      </c>
      <c r="AE13" s="127" t="s">
        <v>679</v>
      </c>
      <c r="AG13" s="126" t="s">
        <v>585</v>
      </c>
      <c r="AH13" s="126" t="s">
        <v>585</v>
      </c>
      <c r="AI13" s="126" t="s">
        <v>585</v>
      </c>
      <c r="AJ13" s="126" t="s">
        <v>585</v>
      </c>
      <c r="AK13" s="161"/>
      <c r="AL13" s="126" t="s">
        <v>585</v>
      </c>
      <c r="AM13" s="126" t="s">
        <v>585</v>
      </c>
      <c r="AN13" s="126" t="s">
        <v>585</v>
      </c>
      <c r="AO13" s="126" t="s">
        <v>585</v>
      </c>
      <c r="AQ13" s="124" t="s">
        <v>202</v>
      </c>
      <c r="AR13" s="124" t="s">
        <v>202</v>
      </c>
      <c r="AS13" s="124" t="s">
        <v>202</v>
      </c>
      <c r="AT13" s="124" t="s">
        <v>823</v>
      </c>
      <c r="AU13" s="125" t="s">
        <v>678</v>
      </c>
      <c r="AV13" s="161"/>
      <c r="AW13" s="124" t="s">
        <v>202</v>
      </c>
      <c r="AX13" s="124" t="s">
        <v>202</v>
      </c>
      <c r="AY13" s="124" t="s">
        <v>202</v>
      </c>
      <c r="AZ13" s="124" t="s">
        <v>202</v>
      </c>
      <c r="BA13" s="125" t="s">
        <v>678</v>
      </c>
    </row>
    <row r="14" spans="1:54" ht="14.45" customHeight="1" x14ac:dyDescent="0.25">
      <c r="Q14" s="366" t="s">
        <v>735</v>
      </c>
      <c r="R14" s="367"/>
      <c r="S14" s="367"/>
      <c r="T14" s="367"/>
      <c r="U14" s="367"/>
      <c r="V14" s="368"/>
      <c r="Z14" s="372" t="s">
        <v>734</v>
      </c>
      <c r="AA14" s="373"/>
      <c r="AB14" s="373"/>
      <c r="AC14" s="373"/>
      <c r="AD14" s="373"/>
      <c r="AE14" s="374"/>
      <c r="AG14" s="369" t="s">
        <v>733</v>
      </c>
      <c r="AH14" s="370"/>
      <c r="AI14" s="370"/>
      <c r="AJ14" s="370"/>
      <c r="AK14" s="370"/>
      <c r="AL14" s="370"/>
      <c r="AM14" s="370"/>
      <c r="AN14" s="370"/>
      <c r="AO14" s="371"/>
      <c r="AP14" s="156"/>
      <c r="AQ14" s="375" t="s">
        <v>732</v>
      </c>
      <c r="AR14" s="376"/>
      <c r="AS14" s="376"/>
      <c r="AT14" s="376"/>
      <c r="AU14" s="376"/>
      <c r="AV14" s="376"/>
      <c r="AW14" s="376"/>
      <c r="AX14" s="376"/>
      <c r="AY14" s="376"/>
      <c r="AZ14" s="376"/>
      <c r="BA14" s="377"/>
      <c r="BB14" s="150"/>
    </row>
    <row r="17" spans="1:1" x14ac:dyDescent="0.25">
      <c r="A17" s="122" t="s">
        <v>677</v>
      </c>
    </row>
    <row r="18" spans="1:1" x14ac:dyDescent="0.25">
      <c r="A18" s="123" t="s">
        <v>676</v>
      </c>
    </row>
    <row r="19" spans="1:1" x14ac:dyDescent="0.25">
      <c r="A19" s="122" t="s">
        <v>675</v>
      </c>
    </row>
    <row r="20" spans="1:1" x14ac:dyDescent="0.25">
      <c r="A20" s="122" t="s">
        <v>674</v>
      </c>
    </row>
    <row r="21" spans="1:1" x14ac:dyDescent="0.25">
      <c r="A21" s="122" t="s">
        <v>673</v>
      </c>
    </row>
    <row r="22" spans="1:1" x14ac:dyDescent="0.25">
      <c r="A22" s="122" t="s">
        <v>672</v>
      </c>
    </row>
  </sheetData>
  <mergeCells count="4">
    <mergeCell ref="Q14:V14"/>
    <mergeCell ref="AG14:AO14"/>
    <mergeCell ref="Z14:AE14"/>
    <mergeCell ref="AQ14:BA14"/>
  </mergeCell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3" tint="0.59999389629810485"/>
  </sheetPr>
  <dimension ref="A1:ES105"/>
  <sheetViews>
    <sheetView zoomScaleNormal="100" workbookViewId="0">
      <selection activeCell="C22" sqref="C22"/>
    </sheetView>
  </sheetViews>
  <sheetFormatPr defaultColWidth="9.140625" defaultRowHeight="15" x14ac:dyDescent="0.25"/>
  <cols>
    <col min="1" max="1" width="36" style="164" customWidth="1"/>
    <col min="2" max="22" width="11.5703125" style="164" customWidth="1"/>
    <col min="23" max="24" width="9.140625" style="165"/>
    <col min="25" max="25" width="21.42578125" style="165" customWidth="1"/>
    <col min="26" max="149" width="9.140625" style="165"/>
    <col min="150" max="16384" width="9.140625" style="164"/>
  </cols>
  <sheetData>
    <row r="1" spans="1:149" ht="26.25" x14ac:dyDescent="0.4">
      <c r="A1" s="195" t="s">
        <v>862</v>
      </c>
      <c r="B1" s="194"/>
      <c r="F1" s="193" t="s">
        <v>861</v>
      </c>
      <c r="AF1" s="165" t="s">
        <v>860</v>
      </c>
    </row>
    <row r="2" spans="1:149" x14ac:dyDescent="0.25">
      <c r="A2" s="192" t="s">
        <v>859</v>
      </c>
      <c r="C2" s="192">
        <v>61</v>
      </c>
      <c r="D2" s="180" t="s">
        <v>858</v>
      </c>
      <c r="E2" s="189"/>
      <c r="F2" s="188" t="s">
        <v>857</v>
      </c>
    </row>
    <row r="3" spans="1:149" x14ac:dyDescent="0.25">
      <c r="A3" s="192" t="s">
        <v>856</v>
      </c>
      <c r="B3" s="181"/>
      <c r="C3" s="180"/>
      <c r="D3" s="189"/>
      <c r="E3" s="189"/>
      <c r="F3" s="188" t="s">
        <v>855</v>
      </c>
    </row>
    <row r="4" spans="1:149" x14ac:dyDescent="0.25">
      <c r="A4" s="192" t="s">
        <v>854</v>
      </c>
      <c r="B4" s="181"/>
      <c r="C4" s="180"/>
      <c r="D4" s="189"/>
      <c r="E4" s="189"/>
      <c r="F4" s="188" t="s">
        <v>853</v>
      </c>
    </row>
    <row r="5" spans="1:149" x14ac:dyDescent="0.25">
      <c r="A5" s="191"/>
      <c r="B5" s="190"/>
      <c r="C5" s="189"/>
      <c r="D5" s="189"/>
      <c r="E5" s="189"/>
      <c r="F5" s="188" t="s">
        <v>852</v>
      </c>
    </row>
    <row r="6" spans="1:149" ht="23.45" customHeight="1" x14ac:dyDescent="0.3">
      <c r="A6" s="389" t="s">
        <v>851</v>
      </c>
      <c r="B6" s="390" t="s">
        <v>850</v>
      </c>
      <c r="C6" s="391"/>
      <c r="D6" s="391"/>
      <c r="E6" s="391"/>
      <c r="F6" s="391"/>
      <c r="G6" s="391"/>
      <c r="H6" s="391"/>
      <c r="I6" s="391"/>
      <c r="J6" s="391"/>
      <c r="K6" s="391"/>
      <c r="L6" s="391"/>
      <c r="M6" s="392"/>
      <c r="N6" s="393" t="s">
        <v>257</v>
      </c>
      <c r="O6" s="394"/>
      <c r="P6" s="395"/>
      <c r="Q6" s="379" t="s">
        <v>259</v>
      </c>
      <c r="R6" s="379"/>
      <c r="S6" s="379"/>
      <c r="T6" s="379"/>
      <c r="U6" s="379"/>
      <c r="V6" s="379"/>
    </row>
    <row r="7" spans="1:149" ht="17.45" customHeight="1" x14ac:dyDescent="0.25">
      <c r="A7" s="389"/>
      <c r="B7" s="380" t="s">
        <v>849</v>
      </c>
      <c r="C7" s="381"/>
      <c r="D7" s="382"/>
      <c r="E7" s="380" t="s">
        <v>848</v>
      </c>
      <c r="F7" s="381"/>
      <c r="G7" s="382"/>
      <c r="H7" s="380" t="s">
        <v>847</v>
      </c>
      <c r="I7" s="381"/>
      <c r="J7" s="382"/>
      <c r="K7" s="383" t="s">
        <v>846</v>
      </c>
      <c r="L7" s="384"/>
      <c r="M7" s="385"/>
      <c r="N7" s="386" t="s">
        <v>257</v>
      </c>
      <c r="O7" s="387"/>
      <c r="P7" s="388"/>
      <c r="Q7" s="397" t="s">
        <v>845</v>
      </c>
      <c r="R7" s="398"/>
      <c r="S7" s="398"/>
      <c r="T7" s="378" t="s">
        <v>24</v>
      </c>
      <c r="U7" s="378"/>
      <c r="V7" s="378"/>
    </row>
    <row r="8" spans="1:149" ht="41.1" customHeight="1" x14ac:dyDescent="0.25">
      <c r="A8" s="389"/>
      <c r="B8" s="187" t="s">
        <v>844</v>
      </c>
      <c r="C8" s="187" t="s">
        <v>842</v>
      </c>
      <c r="D8" s="187" t="s">
        <v>841</v>
      </c>
      <c r="E8" s="187" t="s">
        <v>844</v>
      </c>
      <c r="F8" s="187" t="s">
        <v>842</v>
      </c>
      <c r="G8" s="187" t="s">
        <v>841</v>
      </c>
      <c r="H8" s="187" t="s">
        <v>844</v>
      </c>
      <c r="I8" s="187" t="s">
        <v>842</v>
      </c>
      <c r="J8" s="187" t="s">
        <v>841</v>
      </c>
      <c r="K8" s="186" t="s">
        <v>844</v>
      </c>
      <c r="L8" s="186" t="s">
        <v>842</v>
      </c>
      <c r="M8" s="186" t="s">
        <v>841</v>
      </c>
      <c r="N8" s="185" t="s">
        <v>844</v>
      </c>
      <c r="O8" s="185" t="s">
        <v>842</v>
      </c>
      <c r="P8" s="185" t="s">
        <v>841</v>
      </c>
      <c r="Q8" s="184" t="s">
        <v>843</v>
      </c>
      <c r="R8" s="184" t="s">
        <v>842</v>
      </c>
      <c r="S8" s="184" t="s">
        <v>841</v>
      </c>
      <c r="T8" s="184" t="s">
        <v>843</v>
      </c>
      <c r="U8" s="184" t="s">
        <v>842</v>
      </c>
      <c r="V8" s="184" t="s">
        <v>841</v>
      </c>
    </row>
    <row r="9" spans="1:149" s="200" customFormat="1" ht="12.75" x14ac:dyDescent="0.2">
      <c r="A9" s="196" t="s">
        <v>840</v>
      </c>
      <c r="B9" s="197" t="s">
        <v>839</v>
      </c>
      <c r="C9" s="197" t="s">
        <v>838</v>
      </c>
      <c r="D9" s="197" t="s">
        <v>837</v>
      </c>
      <c r="E9" s="197" t="s">
        <v>839</v>
      </c>
      <c r="F9" s="197" t="s">
        <v>838</v>
      </c>
      <c r="G9" s="197" t="s">
        <v>837</v>
      </c>
      <c r="H9" s="197" t="s">
        <v>839</v>
      </c>
      <c r="I9" s="197" t="s">
        <v>838</v>
      </c>
      <c r="J9" s="197" t="s">
        <v>837</v>
      </c>
      <c r="K9" s="197" t="s">
        <v>823</v>
      </c>
      <c r="L9" s="197" t="s">
        <v>823</v>
      </c>
      <c r="M9" s="197" t="s">
        <v>823</v>
      </c>
      <c r="N9" s="198" t="s">
        <v>585</v>
      </c>
      <c r="O9" s="198" t="s">
        <v>585</v>
      </c>
      <c r="P9" s="198" t="s">
        <v>585</v>
      </c>
      <c r="Q9" s="198" t="s">
        <v>585</v>
      </c>
      <c r="R9" s="198" t="s">
        <v>585</v>
      </c>
      <c r="S9" s="198" t="s">
        <v>585</v>
      </c>
      <c r="T9" s="198" t="s">
        <v>585</v>
      </c>
      <c r="U9" s="198" t="s">
        <v>585</v>
      </c>
      <c r="V9" s="198" t="s">
        <v>585</v>
      </c>
      <c r="W9" s="199"/>
      <c r="X9" s="199"/>
      <c r="Y9" s="199"/>
      <c r="Z9" s="199"/>
      <c r="AA9" s="199"/>
      <c r="AB9" s="199"/>
      <c r="AC9" s="199"/>
      <c r="AD9" s="199"/>
      <c r="AE9" s="199"/>
      <c r="AF9" s="199"/>
      <c r="AG9" s="199"/>
      <c r="AH9" s="199"/>
      <c r="AI9" s="199"/>
      <c r="AJ9" s="199"/>
      <c r="AK9" s="199"/>
      <c r="AL9" s="199"/>
      <c r="AM9" s="199"/>
      <c r="AN9" s="199"/>
      <c r="AO9" s="199"/>
      <c r="AP9" s="199"/>
      <c r="AQ9" s="199"/>
      <c r="AR9" s="199"/>
      <c r="AS9" s="199"/>
      <c r="AT9" s="199"/>
      <c r="AU9" s="199"/>
      <c r="AV9" s="199"/>
      <c r="AW9" s="199"/>
      <c r="AX9" s="199"/>
      <c r="AY9" s="199"/>
      <c r="AZ9" s="199"/>
      <c r="BA9" s="199"/>
      <c r="BB9" s="199"/>
      <c r="BC9" s="199"/>
      <c r="BD9" s="199"/>
      <c r="BE9" s="199"/>
      <c r="BF9" s="199"/>
      <c r="BG9" s="199"/>
      <c r="BH9" s="199"/>
      <c r="BI9" s="199"/>
      <c r="BJ9" s="199"/>
      <c r="BK9" s="199"/>
      <c r="BL9" s="199"/>
      <c r="BM9" s="199"/>
      <c r="BN9" s="199"/>
      <c r="BO9" s="199"/>
      <c r="BP9" s="199"/>
      <c r="BQ9" s="199"/>
      <c r="BR9" s="199"/>
      <c r="BS9" s="199"/>
      <c r="BT9" s="199"/>
      <c r="BU9" s="199"/>
      <c r="BV9" s="199"/>
      <c r="BW9" s="199"/>
      <c r="BX9" s="199"/>
      <c r="BY9" s="199"/>
      <c r="BZ9" s="199"/>
      <c r="CA9" s="199"/>
      <c r="CB9" s="199"/>
      <c r="CC9" s="199"/>
      <c r="CD9" s="199"/>
      <c r="CE9" s="199"/>
      <c r="CF9" s="199"/>
      <c r="CG9" s="199"/>
      <c r="CH9" s="199"/>
      <c r="CI9" s="199"/>
      <c r="CJ9" s="199"/>
      <c r="CK9" s="199"/>
      <c r="CL9" s="199"/>
      <c r="CM9" s="199"/>
      <c r="CN9" s="199"/>
      <c r="CO9" s="199"/>
      <c r="CP9" s="199"/>
      <c r="CQ9" s="199"/>
      <c r="CR9" s="199"/>
      <c r="CS9" s="199"/>
      <c r="CT9" s="199"/>
      <c r="CU9" s="199"/>
      <c r="CV9" s="199"/>
      <c r="CW9" s="199"/>
      <c r="CX9" s="199"/>
      <c r="CY9" s="199"/>
      <c r="CZ9" s="199"/>
      <c r="DA9" s="199"/>
      <c r="DB9" s="199"/>
      <c r="DC9" s="199"/>
      <c r="DD9" s="199"/>
      <c r="DE9" s="199"/>
      <c r="DF9" s="199"/>
      <c r="DG9" s="199"/>
      <c r="DH9" s="199"/>
      <c r="DI9" s="199"/>
      <c r="DJ9" s="199"/>
      <c r="DK9" s="199"/>
      <c r="DL9" s="199"/>
      <c r="DM9" s="199"/>
      <c r="DN9" s="199"/>
      <c r="DO9" s="199"/>
      <c r="DP9" s="199"/>
      <c r="DQ9" s="199"/>
      <c r="DR9" s="199"/>
      <c r="DS9" s="199"/>
      <c r="DT9" s="199"/>
      <c r="DU9" s="199"/>
      <c r="DV9" s="199"/>
      <c r="DW9" s="199"/>
      <c r="DX9" s="199"/>
      <c r="DY9" s="199"/>
      <c r="DZ9" s="199"/>
      <c r="EA9" s="199"/>
      <c r="EB9" s="199"/>
      <c r="EC9" s="199"/>
      <c r="ED9" s="199"/>
      <c r="EE9" s="199"/>
      <c r="EF9" s="199"/>
      <c r="EG9" s="199"/>
      <c r="EH9" s="199"/>
      <c r="EI9" s="199"/>
      <c r="EJ9" s="199"/>
      <c r="EK9" s="199"/>
      <c r="EL9" s="199"/>
      <c r="EM9" s="199"/>
      <c r="EN9" s="199"/>
      <c r="EO9" s="199"/>
      <c r="EP9" s="199"/>
      <c r="EQ9" s="199"/>
      <c r="ER9" s="199"/>
      <c r="ES9" s="199"/>
    </row>
    <row r="10" spans="1:149" s="206" customFormat="1" ht="12.75" x14ac:dyDescent="0.2">
      <c r="A10" s="201" t="s">
        <v>836</v>
      </c>
      <c r="B10" s="202" t="s">
        <v>822</v>
      </c>
      <c r="C10" s="202">
        <v>75</v>
      </c>
      <c r="D10" s="202">
        <v>0</v>
      </c>
      <c r="E10" s="202" t="s">
        <v>821</v>
      </c>
      <c r="F10" s="202">
        <v>75</v>
      </c>
      <c r="G10" s="202">
        <v>0</v>
      </c>
      <c r="H10" s="202" t="s">
        <v>834</v>
      </c>
      <c r="I10" s="202">
        <v>75</v>
      </c>
      <c r="J10" s="202">
        <v>0</v>
      </c>
      <c r="K10" s="203" t="s">
        <v>823</v>
      </c>
      <c r="L10" s="203" t="s">
        <v>823</v>
      </c>
      <c r="M10" s="203" t="s">
        <v>823</v>
      </c>
      <c r="N10" s="204" t="s">
        <v>585</v>
      </c>
      <c r="O10" s="204" t="s">
        <v>585</v>
      </c>
      <c r="P10" s="204" t="s">
        <v>585</v>
      </c>
      <c r="Q10" s="205" t="s">
        <v>585</v>
      </c>
      <c r="R10" s="205" t="s">
        <v>585</v>
      </c>
      <c r="S10" s="205" t="s">
        <v>585</v>
      </c>
      <c r="T10" s="205" t="s">
        <v>585</v>
      </c>
      <c r="U10" s="205" t="s">
        <v>585</v>
      </c>
      <c r="V10" s="205" t="s">
        <v>585</v>
      </c>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c r="AS10" s="199"/>
      <c r="AT10" s="199"/>
      <c r="AU10" s="199"/>
      <c r="AV10" s="199"/>
      <c r="AW10" s="199"/>
      <c r="AX10" s="199"/>
      <c r="AY10" s="199"/>
      <c r="AZ10" s="199"/>
      <c r="BA10" s="199"/>
      <c r="BB10" s="199"/>
      <c r="BC10" s="199"/>
      <c r="BD10" s="199"/>
      <c r="BE10" s="199"/>
      <c r="BF10" s="199"/>
      <c r="BG10" s="199"/>
      <c r="BH10" s="199"/>
      <c r="BI10" s="199"/>
      <c r="BJ10" s="199"/>
      <c r="BK10" s="199"/>
      <c r="BL10" s="199"/>
      <c r="BM10" s="199"/>
      <c r="BN10" s="199"/>
      <c r="BO10" s="199"/>
      <c r="BP10" s="199"/>
      <c r="BQ10" s="199"/>
      <c r="BR10" s="199"/>
      <c r="BS10" s="199"/>
      <c r="BT10" s="199"/>
      <c r="BU10" s="199"/>
      <c r="BV10" s="199"/>
      <c r="BW10" s="199"/>
      <c r="BX10" s="199"/>
      <c r="BY10" s="199"/>
      <c r="BZ10" s="199"/>
      <c r="CA10" s="199"/>
      <c r="CB10" s="199"/>
      <c r="CC10" s="199"/>
      <c r="CD10" s="199"/>
      <c r="CE10" s="199"/>
      <c r="CF10" s="199"/>
      <c r="CG10" s="199"/>
      <c r="CH10" s="199"/>
      <c r="CI10" s="199"/>
      <c r="CJ10" s="199"/>
      <c r="CK10" s="199"/>
      <c r="CL10" s="199"/>
      <c r="CM10" s="199"/>
      <c r="CN10" s="199"/>
      <c r="CO10" s="199"/>
      <c r="CP10" s="199"/>
      <c r="CQ10" s="199"/>
      <c r="CR10" s="199"/>
      <c r="CS10" s="199"/>
      <c r="CT10" s="199"/>
      <c r="CU10" s="199"/>
      <c r="CV10" s="199"/>
      <c r="CW10" s="199"/>
      <c r="CX10" s="199"/>
      <c r="CY10" s="199"/>
      <c r="CZ10" s="199"/>
      <c r="DA10" s="199"/>
      <c r="DB10" s="199"/>
      <c r="DC10" s="199"/>
      <c r="DD10" s="199"/>
      <c r="DE10" s="199"/>
      <c r="DF10" s="199"/>
      <c r="DG10" s="199"/>
      <c r="DH10" s="199"/>
      <c r="DI10" s="199"/>
      <c r="DJ10" s="199"/>
      <c r="DK10" s="199"/>
      <c r="DL10" s="199"/>
      <c r="DM10" s="199"/>
      <c r="DN10" s="199"/>
      <c r="DO10" s="199"/>
      <c r="DP10" s="199"/>
      <c r="DQ10" s="199"/>
      <c r="DR10" s="199"/>
      <c r="DS10" s="199"/>
      <c r="DT10" s="199"/>
      <c r="DU10" s="199"/>
      <c r="DV10" s="199"/>
      <c r="DW10" s="199"/>
      <c r="DX10" s="199"/>
      <c r="DY10" s="199"/>
      <c r="DZ10" s="199"/>
      <c r="EA10" s="199"/>
      <c r="EB10" s="199"/>
      <c r="EC10" s="199"/>
      <c r="ED10" s="199"/>
      <c r="EE10" s="199"/>
      <c r="EF10" s="199"/>
      <c r="EG10" s="199"/>
      <c r="EH10" s="199"/>
      <c r="EI10" s="199"/>
      <c r="EJ10" s="199"/>
      <c r="EK10" s="199"/>
      <c r="EL10" s="199"/>
      <c r="EM10" s="199"/>
      <c r="EN10" s="199"/>
      <c r="EO10" s="199"/>
      <c r="EP10" s="199"/>
      <c r="EQ10" s="199"/>
      <c r="ER10" s="199"/>
      <c r="ES10" s="199"/>
    </row>
    <row r="11" spans="1:149" s="206" customFormat="1" ht="12.75" x14ac:dyDescent="0.2">
      <c r="A11" s="207" t="s">
        <v>835</v>
      </c>
      <c r="B11" s="202" t="s">
        <v>822</v>
      </c>
      <c r="C11" s="202">
        <f>$C$2</f>
        <v>61</v>
      </c>
      <c r="D11" s="202">
        <v>0</v>
      </c>
      <c r="E11" s="202" t="s">
        <v>821</v>
      </c>
      <c r="F11" s="202">
        <f>$C$2</f>
        <v>61</v>
      </c>
      <c r="G11" s="202">
        <v>0</v>
      </c>
      <c r="H11" s="202" t="s">
        <v>834</v>
      </c>
      <c r="I11" s="202">
        <f>$C$2</f>
        <v>61</v>
      </c>
      <c r="J11" s="202">
        <v>0</v>
      </c>
      <c r="K11" s="203" t="s">
        <v>823</v>
      </c>
      <c r="L11" s="203" t="s">
        <v>823</v>
      </c>
      <c r="M11" s="203" t="s">
        <v>823</v>
      </c>
      <c r="N11" s="204" t="s">
        <v>585</v>
      </c>
      <c r="O11" s="204" t="s">
        <v>585</v>
      </c>
      <c r="P11" s="204" t="s">
        <v>585</v>
      </c>
      <c r="Q11" s="205" t="s">
        <v>585</v>
      </c>
      <c r="R11" s="205" t="s">
        <v>585</v>
      </c>
      <c r="S11" s="205" t="s">
        <v>585</v>
      </c>
      <c r="T11" s="205" t="s">
        <v>585</v>
      </c>
      <c r="U11" s="205" t="s">
        <v>585</v>
      </c>
      <c r="V11" s="205" t="s">
        <v>585</v>
      </c>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c r="AS11" s="199"/>
      <c r="AT11" s="199"/>
      <c r="AU11" s="199"/>
      <c r="AV11" s="199"/>
      <c r="AW11" s="199"/>
      <c r="AX11" s="199"/>
      <c r="AY11" s="199"/>
      <c r="AZ11" s="199"/>
      <c r="BA11" s="199"/>
      <c r="BB11" s="199"/>
      <c r="BC11" s="199"/>
      <c r="BD11" s="199"/>
      <c r="BE11" s="199"/>
      <c r="BF11" s="199"/>
      <c r="BG11" s="199"/>
      <c r="BH11" s="199"/>
      <c r="BI11" s="199"/>
      <c r="BJ11" s="199"/>
      <c r="BK11" s="199"/>
      <c r="BL11" s="199"/>
      <c r="BM11" s="199"/>
      <c r="BN11" s="199"/>
      <c r="BO11" s="199"/>
      <c r="BP11" s="199"/>
      <c r="BQ11" s="199"/>
      <c r="BR11" s="199"/>
      <c r="BS11" s="199"/>
      <c r="BT11" s="199"/>
      <c r="BU11" s="199"/>
      <c r="BV11" s="199"/>
      <c r="BW11" s="199"/>
      <c r="BX11" s="199"/>
      <c r="BY11" s="199"/>
      <c r="BZ11" s="199"/>
      <c r="CA11" s="199"/>
      <c r="CB11" s="199"/>
      <c r="CC11" s="199"/>
      <c r="CD11" s="199"/>
      <c r="CE11" s="199"/>
      <c r="CF11" s="199"/>
      <c r="CG11" s="199"/>
      <c r="CH11" s="199"/>
      <c r="CI11" s="199"/>
      <c r="CJ11" s="199"/>
      <c r="CK11" s="199"/>
      <c r="CL11" s="199"/>
      <c r="CM11" s="199"/>
      <c r="CN11" s="199"/>
      <c r="CO11" s="199"/>
      <c r="CP11" s="199"/>
      <c r="CQ11" s="199"/>
      <c r="CR11" s="199"/>
      <c r="CS11" s="199"/>
      <c r="CT11" s="199"/>
      <c r="CU11" s="199"/>
      <c r="CV11" s="199"/>
      <c r="CW11" s="199"/>
      <c r="CX11" s="199"/>
      <c r="CY11" s="199"/>
      <c r="CZ11" s="199"/>
      <c r="DA11" s="199"/>
      <c r="DB11" s="199"/>
      <c r="DC11" s="199"/>
      <c r="DD11" s="199"/>
      <c r="DE11" s="199"/>
      <c r="DF11" s="199"/>
      <c r="DG11" s="199"/>
      <c r="DH11" s="199"/>
      <c r="DI11" s="199"/>
      <c r="DJ11" s="199"/>
      <c r="DK11" s="199"/>
      <c r="DL11" s="199"/>
      <c r="DM11" s="199"/>
      <c r="DN11" s="199"/>
      <c r="DO11" s="199"/>
      <c r="DP11" s="199"/>
      <c r="DQ11" s="199"/>
      <c r="DR11" s="199"/>
      <c r="DS11" s="199"/>
      <c r="DT11" s="199"/>
      <c r="DU11" s="199"/>
      <c r="DV11" s="199"/>
      <c r="DW11" s="199"/>
      <c r="DX11" s="199"/>
      <c r="DY11" s="199"/>
      <c r="DZ11" s="199"/>
      <c r="EA11" s="199"/>
      <c r="EB11" s="199"/>
      <c r="EC11" s="199"/>
      <c r="ED11" s="199"/>
      <c r="EE11" s="199"/>
      <c r="EF11" s="199"/>
      <c r="EG11" s="199"/>
      <c r="EH11" s="199"/>
      <c r="EI11" s="199"/>
      <c r="EJ11" s="199"/>
      <c r="EK11" s="199"/>
      <c r="EL11" s="199"/>
      <c r="EM11" s="199"/>
      <c r="EN11" s="199"/>
      <c r="EO11" s="199"/>
      <c r="EP11" s="199"/>
      <c r="EQ11" s="199"/>
      <c r="ER11" s="199"/>
      <c r="ES11" s="199"/>
    </row>
    <row r="12" spans="1:149" s="200" customFormat="1" ht="12.75" x14ac:dyDescent="0.2">
      <c r="A12" s="208" t="s">
        <v>833</v>
      </c>
      <c r="B12" s="197" t="s">
        <v>822</v>
      </c>
      <c r="C12" s="197">
        <f>$C$2</f>
        <v>61</v>
      </c>
      <c r="D12" s="197">
        <v>0</v>
      </c>
      <c r="E12" s="197" t="s">
        <v>822</v>
      </c>
      <c r="F12" s="197">
        <f>$C$2</f>
        <v>61</v>
      </c>
      <c r="G12" s="197">
        <v>0</v>
      </c>
      <c r="H12" s="197" t="s">
        <v>821</v>
      </c>
      <c r="I12" s="197">
        <f>$C$2</f>
        <v>61</v>
      </c>
      <c r="J12" s="197">
        <v>0</v>
      </c>
      <c r="K12" s="197" t="s">
        <v>823</v>
      </c>
      <c r="L12" s="197" t="s">
        <v>823</v>
      </c>
      <c r="M12" s="197" t="s">
        <v>823</v>
      </c>
      <c r="N12" s="198" t="s">
        <v>585</v>
      </c>
      <c r="O12" s="198" t="s">
        <v>585</v>
      </c>
      <c r="P12" s="198" t="s">
        <v>585</v>
      </c>
      <c r="Q12" s="198" t="s">
        <v>585</v>
      </c>
      <c r="R12" s="198" t="s">
        <v>585</v>
      </c>
      <c r="S12" s="198" t="s">
        <v>585</v>
      </c>
      <c r="T12" s="198" t="s">
        <v>585</v>
      </c>
      <c r="U12" s="198" t="s">
        <v>585</v>
      </c>
      <c r="V12" s="198" t="s">
        <v>585</v>
      </c>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c r="AS12" s="199"/>
      <c r="AT12" s="199"/>
      <c r="AU12" s="199"/>
      <c r="AV12" s="199"/>
      <c r="AW12" s="199"/>
      <c r="AX12" s="199"/>
      <c r="AY12" s="199"/>
      <c r="AZ12" s="199"/>
      <c r="BA12" s="199"/>
      <c r="BB12" s="199"/>
      <c r="BC12" s="199"/>
      <c r="BD12" s="199"/>
      <c r="BE12" s="199"/>
      <c r="BF12" s="199"/>
      <c r="BG12" s="199"/>
      <c r="BH12" s="199"/>
      <c r="BI12" s="199"/>
      <c r="BJ12" s="199"/>
      <c r="BK12" s="199"/>
      <c r="BL12" s="199"/>
      <c r="BM12" s="199"/>
      <c r="BN12" s="199"/>
      <c r="BO12" s="199"/>
      <c r="BP12" s="199"/>
      <c r="BQ12" s="199"/>
      <c r="BR12" s="199"/>
      <c r="BS12" s="199"/>
      <c r="BT12" s="199"/>
      <c r="BU12" s="199"/>
      <c r="BV12" s="199"/>
      <c r="BW12" s="199"/>
      <c r="BX12" s="199"/>
      <c r="BY12" s="199"/>
      <c r="BZ12" s="199"/>
      <c r="CA12" s="199"/>
      <c r="CB12" s="199"/>
      <c r="CC12" s="199"/>
      <c r="CD12" s="199"/>
      <c r="CE12" s="199"/>
      <c r="CF12" s="199"/>
      <c r="CG12" s="199"/>
      <c r="CH12" s="199"/>
      <c r="CI12" s="199"/>
      <c r="CJ12" s="199"/>
      <c r="CK12" s="199"/>
      <c r="CL12" s="199"/>
      <c r="CM12" s="199"/>
      <c r="CN12" s="199"/>
      <c r="CO12" s="199"/>
      <c r="CP12" s="199"/>
      <c r="CQ12" s="199"/>
      <c r="CR12" s="199"/>
      <c r="CS12" s="199"/>
      <c r="CT12" s="199"/>
      <c r="CU12" s="199"/>
      <c r="CV12" s="199"/>
      <c r="CW12" s="199"/>
      <c r="CX12" s="199"/>
      <c r="CY12" s="199"/>
      <c r="CZ12" s="199"/>
      <c r="DA12" s="199"/>
      <c r="DB12" s="199"/>
      <c r="DC12" s="199"/>
      <c r="DD12" s="199"/>
      <c r="DE12" s="199"/>
      <c r="DF12" s="199"/>
      <c r="DG12" s="199"/>
      <c r="DH12" s="199"/>
      <c r="DI12" s="199"/>
      <c r="DJ12" s="199"/>
      <c r="DK12" s="199"/>
      <c r="DL12" s="199"/>
      <c r="DM12" s="199"/>
      <c r="DN12" s="199"/>
      <c r="DO12" s="199"/>
      <c r="DP12" s="199"/>
      <c r="DQ12" s="199"/>
      <c r="DR12" s="199"/>
      <c r="DS12" s="199"/>
      <c r="DT12" s="199"/>
      <c r="DU12" s="199"/>
      <c r="DV12" s="199"/>
      <c r="DW12" s="199"/>
      <c r="DX12" s="199"/>
      <c r="DY12" s="199"/>
      <c r="DZ12" s="199"/>
      <c r="EA12" s="199"/>
      <c r="EB12" s="199"/>
      <c r="EC12" s="199"/>
      <c r="ED12" s="199"/>
      <c r="EE12" s="199"/>
      <c r="EF12" s="199"/>
      <c r="EG12" s="199"/>
      <c r="EH12" s="199"/>
      <c r="EI12" s="199"/>
      <c r="EJ12" s="199"/>
      <c r="EK12" s="199"/>
      <c r="EL12" s="199"/>
      <c r="EM12" s="199"/>
      <c r="EN12" s="199"/>
      <c r="EO12" s="199"/>
      <c r="EP12" s="199"/>
      <c r="EQ12" s="199"/>
      <c r="ER12" s="199"/>
      <c r="ES12" s="199"/>
    </row>
    <row r="13" spans="1:149" s="200" customFormat="1" ht="12.75" x14ac:dyDescent="0.2">
      <c r="A13" s="208" t="s">
        <v>832</v>
      </c>
      <c r="B13" s="197" t="s">
        <v>822</v>
      </c>
      <c r="C13" s="197">
        <f>$C$2</f>
        <v>61</v>
      </c>
      <c r="D13" s="197">
        <v>0</v>
      </c>
      <c r="E13" s="197" t="s">
        <v>822</v>
      </c>
      <c r="F13" s="197">
        <f>$C$2</f>
        <v>61</v>
      </c>
      <c r="G13" s="197">
        <v>0</v>
      </c>
      <c r="H13" s="209" t="s">
        <v>585</v>
      </c>
      <c r="I13" s="209" t="s">
        <v>585</v>
      </c>
      <c r="J13" s="209" t="s">
        <v>585</v>
      </c>
      <c r="K13" s="197" t="s">
        <v>823</v>
      </c>
      <c r="L13" s="197" t="s">
        <v>823</v>
      </c>
      <c r="M13" s="197" t="s">
        <v>823</v>
      </c>
      <c r="N13" s="198" t="s">
        <v>585</v>
      </c>
      <c r="O13" s="198" t="s">
        <v>585</v>
      </c>
      <c r="P13" s="198" t="s">
        <v>585</v>
      </c>
      <c r="Q13" s="198" t="s">
        <v>585</v>
      </c>
      <c r="R13" s="198" t="s">
        <v>585</v>
      </c>
      <c r="S13" s="198" t="s">
        <v>585</v>
      </c>
      <c r="T13" s="198" t="s">
        <v>585</v>
      </c>
      <c r="U13" s="198" t="s">
        <v>585</v>
      </c>
      <c r="V13" s="198" t="s">
        <v>585</v>
      </c>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c r="AS13" s="199"/>
      <c r="AT13" s="199"/>
      <c r="AU13" s="199"/>
      <c r="AV13" s="199"/>
      <c r="AW13" s="199"/>
      <c r="AX13" s="199"/>
      <c r="AY13" s="199"/>
      <c r="AZ13" s="199"/>
      <c r="BA13" s="199"/>
      <c r="BB13" s="199"/>
      <c r="BC13" s="199"/>
      <c r="BD13" s="199"/>
      <c r="BE13" s="199"/>
      <c r="BF13" s="199"/>
      <c r="BG13" s="199"/>
      <c r="BH13" s="199"/>
      <c r="BI13" s="199"/>
      <c r="BJ13" s="199"/>
      <c r="BK13" s="199"/>
      <c r="BL13" s="199"/>
      <c r="BM13" s="199"/>
      <c r="BN13" s="199"/>
      <c r="BO13" s="199"/>
      <c r="BP13" s="199"/>
      <c r="BQ13" s="199"/>
      <c r="BR13" s="199"/>
      <c r="BS13" s="199"/>
      <c r="BT13" s="199"/>
      <c r="BU13" s="199"/>
      <c r="BV13" s="199"/>
      <c r="BW13" s="199"/>
      <c r="BX13" s="199"/>
      <c r="BY13" s="199"/>
      <c r="BZ13" s="199"/>
      <c r="CA13" s="199"/>
      <c r="CB13" s="199"/>
      <c r="CC13" s="199"/>
      <c r="CD13" s="199"/>
      <c r="CE13" s="199"/>
      <c r="CF13" s="199"/>
      <c r="CG13" s="199"/>
      <c r="CH13" s="199"/>
      <c r="CI13" s="199"/>
      <c r="CJ13" s="199"/>
      <c r="CK13" s="199"/>
      <c r="CL13" s="199"/>
      <c r="CM13" s="199"/>
      <c r="CN13" s="199"/>
      <c r="CO13" s="199"/>
      <c r="CP13" s="199"/>
      <c r="CQ13" s="199"/>
      <c r="CR13" s="199"/>
      <c r="CS13" s="199"/>
      <c r="CT13" s="199"/>
      <c r="CU13" s="199"/>
      <c r="CV13" s="199"/>
      <c r="CW13" s="199"/>
      <c r="CX13" s="199"/>
      <c r="CY13" s="199"/>
      <c r="CZ13" s="199"/>
      <c r="DA13" s="199"/>
      <c r="DB13" s="199"/>
      <c r="DC13" s="199"/>
      <c r="DD13" s="199"/>
      <c r="DE13" s="199"/>
      <c r="DF13" s="199"/>
      <c r="DG13" s="199"/>
      <c r="DH13" s="199"/>
      <c r="DI13" s="199"/>
      <c r="DJ13" s="199"/>
      <c r="DK13" s="199"/>
      <c r="DL13" s="199"/>
      <c r="DM13" s="199"/>
      <c r="DN13" s="199"/>
      <c r="DO13" s="199"/>
      <c r="DP13" s="199"/>
      <c r="DQ13" s="199"/>
      <c r="DR13" s="199"/>
      <c r="DS13" s="199"/>
      <c r="DT13" s="199"/>
      <c r="DU13" s="199"/>
      <c r="DV13" s="199"/>
      <c r="DW13" s="199"/>
      <c r="DX13" s="199"/>
      <c r="DY13" s="199"/>
      <c r="DZ13" s="199"/>
      <c r="EA13" s="199"/>
      <c r="EB13" s="199"/>
      <c r="EC13" s="199"/>
      <c r="ED13" s="199"/>
      <c r="EE13" s="199"/>
      <c r="EF13" s="199"/>
      <c r="EG13" s="199"/>
      <c r="EH13" s="199"/>
      <c r="EI13" s="199"/>
      <c r="EJ13" s="199"/>
      <c r="EK13" s="199"/>
      <c r="EL13" s="199"/>
      <c r="EM13" s="199"/>
      <c r="EN13" s="199"/>
      <c r="EO13" s="199"/>
      <c r="EP13" s="199"/>
      <c r="EQ13" s="199"/>
      <c r="ER13" s="199"/>
      <c r="ES13" s="199"/>
    </row>
    <row r="14" spans="1:149" s="206" customFormat="1" ht="12.75" x14ac:dyDescent="0.2">
      <c r="A14" s="207" t="s">
        <v>831</v>
      </c>
      <c r="B14" s="202" t="s">
        <v>822</v>
      </c>
      <c r="C14" s="202">
        <f>$C$2*0.43</f>
        <v>26.23</v>
      </c>
      <c r="D14" s="202">
        <v>0</v>
      </c>
      <c r="E14" s="202" t="s">
        <v>822</v>
      </c>
      <c r="F14" s="202">
        <f>$C$2</f>
        <v>61</v>
      </c>
      <c r="G14" s="202">
        <v>0</v>
      </c>
      <c r="H14" s="202" t="s">
        <v>822</v>
      </c>
      <c r="I14" s="202">
        <f>$C$2*0.57</f>
        <v>34.769999999999996</v>
      </c>
      <c r="J14" s="202">
        <v>0</v>
      </c>
      <c r="K14" s="203" t="s">
        <v>823</v>
      </c>
      <c r="L14" s="203" t="s">
        <v>823</v>
      </c>
      <c r="M14" s="203" t="s">
        <v>823</v>
      </c>
      <c r="N14" s="204" t="s">
        <v>585</v>
      </c>
      <c r="O14" s="204" t="s">
        <v>585</v>
      </c>
      <c r="P14" s="204" t="s">
        <v>585</v>
      </c>
      <c r="Q14" s="205" t="s">
        <v>585</v>
      </c>
      <c r="R14" s="205" t="s">
        <v>585</v>
      </c>
      <c r="S14" s="205" t="s">
        <v>585</v>
      </c>
      <c r="T14" s="205" t="s">
        <v>585</v>
      </c>
      <c r="U14" s="205" t="s">
        <v>585</v>
      </c>
      <c r="V14" s="205" t="s">
        <v>585</v>
      </c>
      <c r="W14" s="199"/>
      <c r="X14" s="199"/>
      <c r="Y14" s="199"/>
      <c r="Z14" s="199"/>
      <c r="AA14" s="199"/>
      <c r="AB14" s="199"/>
      <c r="AC14" s="199"/>
      <c r="AD14" s="199"/>
      <c r="AE14" s="199"/>
      <c r="AF14" s="199"/>
      <c r="AG14" s="199"/>
      <c r="AH14" s="199"/>
      <c r="AI14" s="199"/>
      <c r="AJ14" s="199"/>
      <c r="AK14" s="199"/>
      <c r="AL14" s="199"/>
      <c r="AM14" s="199"/>
      <c r="AN14" s="199"/>
      <c r="AO14" s="199"/>
      <c r="AP14" s="199"/>
      <c r="AQ14" s="199"/>
      <c r="AR14" s="199"/>
      <c r="AS14" s="199"/>
      <c r="AT14" s="199"/>
      <c r="AU14" s="199"/>
      <c r="AV14" s="199"/>
      <c r="AW14" s="199"/>
      <c r="AX14" s="199"/>
      <c r="AY14" s="199"/>
      <c r="AZ14" s="199"/>
      <c r="BA14" s="199"/>
      <c r="BB14" s="199"/>
      <c r="BC14" s="199"/>
      <c r="BD14" s="199"/>
      <c r="BE14" s="199"/>
      <c r="BF14" s="199"/>
      <c r="BG14" s="199"/>
      <c r="BH14" s="199"/>
      <c r="BI14" s="199"/>
      <c r="BJ14" s="199"/>
      <c r="BK14" s="199"/>
      <c r="BL14" s="199"/>
      <c r="BM14" s="199"/>
      <c r="BN14" s="199"/>
      <c r="BO14" s="199"/>
      <c r="BP14" s="199"/>
      <c r="BQ14" s="199"/>
      <c r="BR14" s="199"/>
      <c r="BS14" s="199"/>
      <c r="BT14" s="199"/>
      <c r="BU14" s="199"/>
      <c r="BV14" s="199"/>
      <c r="BW14" s="199"/>
      <c r="BX14" s="199"/>
      <c r="BY14" s="199"/>
      <c r="BZ14" s="199"/>
      <c r="CA14" s="199"/>
      <c r="CB14" s="199"/>
      <c r="CC14" s="199"/>
      <c r="CD14" s="199"/>
      <c r="CE14" s="199"/>
      <c r="CF14" s="199"/>
      <c r="CG14" s="199"/>
      <c r="CH14" s="199"/>
      <c r="CI14" s="199"/>
      <c r="CJ14" s="199"/>
      <c r="CK14" s="199"/>
      <c r="CL14" s="199"/>
      <c r="CM14" s="199"/>
      <c r="CN14" s="199"/>
      <c r="CO14" s="199"/>
      <c r="CP14" s="199"/>
      <c r="CQ14" s="199"/>
      <c r="CR14" s="199"/>
      <c r="CS14" s="199"/>
      <c r="CT14" s="199"/>
      <c r="CU14" s="199"/>
      <c r="CV14" s="199"/>
      <c r="CW14" s="199"/>
      <c r="CX14" s="199"/>
      <c r="CY14" s="199"/>
      <c r="CZ14" s="199"/>
      <c r="DA14" s="199"/>
      <c r="DB14" s="199"/>
      <c r="DC14" s="199"/>
      <c r="DD14" s="199"/>
      <c r="DE14" s="199"/>
      <c r="DF14" s="199"/>
      <c r="DG14" s="199"/>
      <c r="DH14" s="199"/>
      <c r="DI14" s="199"/>
      <c r="DJ14" s="199"/>
      <c r="DK14" s="199"/>
      <c r="DL14" s="199"/>
      <c r="DM14" s="199"/>
      <c r="DN14" s="199"/>
      <c r="DO14" s="199"/>
      <c r="DP14" s="199"/>
      <c r="DQ14" s="199"/>
      <c r="DR14" s="199"/>
      <c r="DS14" s="199"/>
      <c r="DT14" s="199"/>
      <c r="DU14" s="199"/>
      <c r="DV14" s="199"/>
      <c r="DW14" s="199"/>
      <c r="DX14" s="199"/>
      <c r="DY14" s="199"/>
      <c r="DZ14" s="199"/>
      <c r="EA14" s="199"/>
      <c r="EB14" s="199"/>
      <c r="EC14" s="199"/>
      <c r="ED14" s="199"/>
      <c r="EE14" s="199"/>
      <c r="EF14" s="199"/>
      <c r="EG14" s="199"/>
      <c r="EH14" s="199"/>
      <c r="EI14" s="199"/>
      <c r="EJ14" s="199"/>
      <c r="EK14" s="199"/>
      <c r="EL14" s="199"/>
      <c r="EM14" s="199"/>
      <c r="EN14" s="199"/>
      <c r="EO14" s="199"/>
      <c r="EP14" s="199"/>
      <c r="EQ14" s="199"/>
      <c r="ER14" s="199"/>
      <c r="ES14" s="199"/>
    </row>
    <row r="15" spans="1:149" s="200" customFormat="1" ht="12.75" x14ac:dyDescent="0.2">
      <c r="A15" s="208" t="s">
        <v>830</v>
      </c>
      <c r="B15" s="197" t="s">
        <v>822</v>
      </c>
      <c r="C15" s="197">
        <f>$C$2</f>
        <v>61</v>
      </c>
      <c r="D15" s="197">
        <f>$C$2-C14</f>
        <v>34.769999999999996</v>
      </c>
      <c r="E15" s="197" t="s">
        <v>822</v>
      </c>
      <c r="F15" s="197">
        <f>$C$2</f>
        <v>61</v>
      </c>
      <c r="G15" s="197">
        <f>$C$2-F14</f>
        <v>0</v>
      </c>
      <c r="H15" s="197" t="s">
        <v>822</v>
      </c>
      <c r="I15" s="197">
        <f>$C$2</f>
        <v>61</v>
      </c>
      <c r="J15" s="197">
        <f>$C$2-I14</f>
        <v>26.230000000000004</v>
      </c>
      <c r="K15" s="197" t="s">
        <v>823</v>
      </c>
      <c r="L15" s="197" t="s">
        <v>823</v>
      </c>
      <c r="M15" s="197" t="s">
        <v>823</v>
      </c>
      <c r="N15" s="198" t="s">
        <v>585</v>
      </c>
      <c r="O15" s="198" t="s">
        <v>585</v>
      </c>
      <c r="P15" s="198" t="s">
        <v>585</v>
      </c>
      <c r="Q15" s="198" t="s">
        <v>585</v>
      </c>
      <c r="R15" s="198" t="s">
        <v>585</v>
      </c>
      <c r="S15" s="198" t="s">
        <v>585</v>
      </c>
      <c r="T15" s="198" t="s">
        <v>585</v>
      </c>
      <c r="U15" s="198" t="s">
        <v>585</v>
      </c>
      <c r="V15" s="198" t="s">
        <v>585</v>
      </c>
      <c r="W15" s="199"/>
      <c r="X15" s="199"/>
      <c r="Y15" s="199"/>
      <c r="Z15" s="199"/>
      <c r="AA15" s="199"/>
      <c r="AB15" s="199"/>
      <c r="AC15" s="199"/>
      <c r="AD15" s="199"/>
      <c r="AE15" s="199"/>
      <c r="AF15" s="199"/>
      <c r="AG15" s="199"/>
      <c r="AH15" s="199"/>
      <c r="AI15" s="199"/>
      <c r="AJ15" s="199"/>
      <c r="AK15" s="199"/>
      <c r="AL15" s="199"/>
      <c r="AM15" s="199"/>
      <c r="AN15" s="199"/>
      <c r="AO15" s="199"/>
      <c r="AP15" s="199"/>
      <c r="AQ15" s="199"/>
      <c r="AR15" s="199"/>
      <c r="AS15" s="199"/>
      <c r="AT15" s="199"/>
      <c r="AU15" s="199"/>
      <c r="AV15" s="199"/>
      <c r="AW15" s="199"/>
      <c r="AX15" s="199"/>
      <c r="AY15" s="199"/>
      <c r="AZ15" s="199"/>
      <c r="BA15" s="199"/>
      <c r="BB15" s="199"/>
      <c r="BC15" s="199"/>
      <c r="BD15" s="199"/>
      <c r="BE15" s="199"/>
      <c r="BF15" s="199"/>
      <c r="BG15" s="199"/>
      <c r="BH15" s="199"/>
      <c r="BI15" s="199"/>
      <c r="BJ15" s="199"/>
      <c r="BK15" s="199"/>
      <c r="BL15" s="199"/>
      <c r="BM15" s="199"/>
      <c r="BN15" s="199"/>
      <c r="BO15" s="199"/>
      <c r="BP15" s="199"/>
      <c r="BQ15" s="199"/>
      <c r="BR15" s="199"/>
      <c r="BS15" s="199"/>
      <c r="BT15" s="199"/>
      <c r="BU15" s="199"/>
      <c r="BV15" s="199"/>
      <c r="BW15" s="199"/>
      <c r="BX15" s="199"/>
      <c r="BY15" s="199"/>
      <c r="BZ15" s="199"/>
      <c r="CA15" s="199"/>
      <c r="CB15" s="199"/>
      <c r="CC15" s="199"/>
      <c r="CD15" s="199"/>
      <c r="CE15" s="199"/>
      <c r="CF15" s="199"/>
      <c r="CG15" s="199"/>
      <c r="CH15" s="199"/>
      <c r="CI15" s="199"/>
      <c r="CJ15" s="199"/>
      <c r="CK15" s="199"/>
      <c r="CL15" s="199"/>
      <c r="CM15" s="199"/>
      <c r="CN15" s="199"/>
      <c r="CO15" s="199"/>
      <c r="CP15" s="199"/>
      <c r="CQ15" s="199"/>
      <c r="CR15" s="199"/>
      <c r="CS15" s="199"/>
      <c r="CT15" s="199"/>
      <c r="CU15" s="199"/>
      <c r="CV15" s="199"/>
      <c r="CW15" s="199"/>
      <c r="CX15" s="199"/>
      <c r="CY15" s="199"/>
      <c r="CZ15" s="199"/>
      <c r="DA15" s="199"/>
      <c r="DB15" s="199"/>
      <c r="DC15" s="199"/>
      <c r="DD15" s="199"/>
      <c r="DE15" s="199"/>
      <c r="DF15" s="199"/>
      <c r="DG15" s="199"/>
      <c r="DH15" s="199"/>
      <c r="DI15" s="199"/>
      <c r="DJ15" s="199"/>
      <c r="DK15" s="199"/>
      <c r="DL15" s="199"/>
      <c r="DM15" s="199"/>
      <c r="DN15" s="199"/>
      <c r="DO15" s="199"/>
      <c r="DP15" s="199"/>
      <c r="DQ15" s="199"/>
      <c r="DR15" s="199"/>
      <c r="DS15" s="199"/>
      <c r="DT15" s="199"/>
      <c r="DU15" s="199"/>
      <c r="DV15" s="199"/>
      <c r="DW15" s="199"/>
      <c r="DX15" s="199"/>
      <c r="DY15" s="199"/>
      <c r="DZ15" s="199"/>
      <c r="EA15" s="199"/>
      <c r="EB15" s="199"/>
      <c r="EC15" s="199"/>
      <c r="ED15" s="199"/>
      <c r="EE15" s="199"/>
      <c r="EF15" s="199"/>
      <c r="EG15" s="199"/>
      <c r="EH15" s="199"/>
      <c r="EI15" s="199"/>
      <c r="EJ15" s="199"/>
      <c r="EK15" s="199"/>
      <c r="EL15" s="199"/>
      <c r="EM15" s="199"/>
      <c r="EN15" s="199"/>
      <c r="EO15" s="199"/>
      <c r="EP15" s="199"/>
      <c r="EQ15" s="199"/>
      <c r="ER15" s="199"/>
      <c r="ES15" s="199"/>
    </row>
    <row r="16" spans="1:149" s="200" customFormat="1" ht="12.75" x14ac:dyDescent="0.2">
      <c r="A16" s="208" t="s">
        <v>829</v>
      </c>
      <c r="B16" s="197" t="s">
        <v>822</v>
      </c>
      <c r="C16" s="197">
        <f>$C$2*0.75</f>
        <v>45.75</v>
      </c>
      <c r="D16" s="197">
        <v>0</v>
      </c>
      <c r="E16" s="197" t="s">
        <v>822</v>
      </c>
      <c r="F16" s="197">
        <f>$C$2*0.75</f>
        <v>45.75</v>
      </c>
      <c r="G16" s="197">
        <v>0</v>
      </c>
      <c r="H16" s="197" t="s">
        <v>822</v>
      </c>
      <c r="I16" s="197">
        <f>$C$2</f>
        <v>61</v>
      </c>
      <c r="J16" s="197">
        <f>$C$2-I15</f>
        <v>0</v>
      </c>
      <c r="K16" s="197" t="s">
        <v>823</v>
      </c>
      <c r="L16" s="197" t="s">
        <v>823</v>
      </c>
      <c r="M16" s="197" t="s">
        <v>823</v>
      </c>
      <c r="N16" s="198" t="s">
        <v>585</v>
      </c>
      <c r="O16" s="198" t="s">
        <v>585</v>
      </c>
      <c r="P16" s="198" t="s">
        <v>585</v>
      </c>
      <c r="Q16" s="198" t="s">
        <v>585</v>
      </c>
      <c r="R16" s="198" t="s">
        <v>585</v>
      </c>
      <c r="S16" s="198" t="s">
        <v>585</v>
      </c>
      <c r="T16" s="198" t="s">
        <v>585</v>
      </c>
      <c r="U16" s="198" t="s">
        <v>585</v>
      </c>
      <c r="V16" s="198" t="s">
        <v>585</v>
      </c>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c r="AS16" s="199"/>
      <c r="AT16" s="199"/>
      <c r="AU16" s="199"/>
      <c r="AV16" s="199"/>
      <c r="AW16" s="199"/>
      <c r="AX16" s="199"/>
      <c r="AY16" s="199"/>
      <c r="AZ16" s="199"/>
      <c r="BA16" s="199"/>
      <c r="BB16" s="199"/>
      <c r="BC16" s="199"/>
      <c r="BD16" s="199"/>
      <c r="BE16" s="199"/>
      <c r="BF16" s="199"/>
      <c r="BG16" s="199"/>
      <c r="BH16" s="199"/>
      <c r="BI16" s="199"/>
      <c r="BJ16" s="199"/>
      <c r="BK16" s="199"/>
      <c r="BL16" s="199"/>
      <c r="BM16" s="199"/>
      <c r="BN16" s="199"/>
      <c r="BO16" s="199"/>
      <c r="BP16" s="199"/>
      <c r="BQ16" s="199"/>
      <c r="BR16" s="199"/>
      <c r="BS16" s="199"/>
      <c r="BT16" s="199"/>
      <c r="BU16" s="199"/>
      <c r="BV16" s="199"/>
      <c r="BW16" s="199"/>
      <c r="BX16" s="199"/>
      <c r="BY16" s="199"/>
      <c r="BZ16" s="199"/>
      <c r="CA16" s="199"/>
      <c r="CB16" s="199"/>
      <c r="CC16" s="199"/>
      <c r="CD16" s="199"/>
      <c r="CE16" s="199"/>
      <c r="CF16" s="199"/>
      <c r="CG16" s="199"/>
      <c r="CH16" s="199"/>
      <c r="CI16" s="199"/>
      <c r="CJ16" s="199"/>
      <c r="CK16" s="199"/>
      <c r="CL16" s="199"/>
      <c r="CM16" s="199"/>
      <c r="CN16" s="199"/>
      <c r="CO16" s="199"/>
      <c r="CP16" s="199"/>
      <c r="CQ16" s="199"/>
      <c r="CR16" s="199"/>
      <c r="CS16" s="199"/>
      <c r="CT16" s="199"/>
      <c r="CU16" s="199"/>
      <c r="CV16" s="199"/>
      <c r="CW16" s="199"/>
      <c r="CX16" s="199"/>
      <c r="CY16" s="199"/>
      <c r="CZ16" s="199"/>
      <c r="DA16" s="199"/>
      <c r="DB16" s="199"/>
      <c r="DC16" s="199"/>
      <c r="DD16" s="199"/>
      <c r="DE16" s="199"/>
      <c r="DF16" s="199"/>
      <c r="DG16" s="199"/>
      <c r="DH16" s="199"/>
      <c r="DI16" s="199"/>
      <c r="DJ16" s="199"/>
      <c r="DK16" s="199"/>
      <c r="DL16" s="199"/>
      <c r="DM16" s="199"/>
      <c r="DN16" s="199"/>
      <c r="DO16" s="199"/>
      <c r="DP16" s="199"/>
      <c r="DQ16" s="199"/>
      <c r="DR16" s="199"/>
      <c r="DS16" s="199"/>
      <c r="DT16" s="199"/>
      <c r="DU16" s="199"/>
      <c r="DV16" s="199"/>
      <c r="DW16" s="199"/>
      <c r="DX16" s="199"/>
      <c r="DY16" s="199"/>
      <c r="DZ16" s="199"/>
      <c r="EA16" s="199"/>
      <c r="EB16" s="199"/>
      <c r="EC16" s="199"/>
      <c r="ED16" s="199"/>
      <c r="EE16" s="199"/>
      <c r="EF16" s="199"/>
      <c r="EG16" s="199"/>
      <c r="EH16" s="199"/>
      <c r="EI16" s="199"/>
      <c r="EJ16" s="199"/>
      <c r="EK16" s="199"/>
      <c r="EL16" s="199"/>
      <c r="EM16" s="199"/>
      <c r="EN16" s="199"/>
      <c r="EO16" s="199"/>
      <c r="EP16" s="199"/>
      <c r="EQ16" s="199"/>
      <c r="ER16" s="199"/>
      <c r="ES16" s="199"/>
    </row>
    <row r="17" spans="1:149" s="200" customFormat="1" ht="12.75" x14ac:dyDescent="0.2">
      <c r="A17" s="208" t="s">
        <v>828</v>
      </c>
      <c r="B17" s="197" t="s">
        <v>822</v>
      </c>
      <c r="C17" s="197">
        <f>$C$2</f>
        <v>61</v>
      </c>
      <c r="D17" s="197">
        <f>$C$2-C16</f>
        <v>15.25</v>
      </c>
      <c r="E17" s="197" t="s">
        <v>822</v>
      </c>
      <c r="F17" s="197">
        <f>$C$2</f>
        <v>61</v>
      </c>
      <c r="G17" s="197">
        <f>$C$2-F16</f>
        <v>15.25</v>
      </c>
      <c r="H17" s="197" t="s">
        <v>822</v>
      </c>
      <c r="I17" s="197">
        <f>$C$2</f>
        <v>61</v>
      </c>
      <c r="J17" s="197">
        <f>$C$2-I16</f>
        <v>0</v>
      </c>
      <c r="K17" s="197" t="s">
        <v>823</v>
      </c>
      <c r="L17" s="197" t="s">
        <v>823</v>
      </c>
      <c r="M17" s="197" t="s">
        <v>823</v>
      </c>
      <c r="N17" s="198" t="s">
        <v>585</v>
      </c>
      <c r="O17" s="198" t="s">
        <v>585</v>
      </c>
      <c r="P17" s="198" t="s">
        <v>585</v>
      </c>
      <c r="Q17" s="198" t="s">
        <v>585</v>
      </c>
      <c r="R17" s="198" t="s">
        <v>585</v>
      </c>
      <c r="S17" s="198" t="s">
        <v>585</v>
      </c>
      <c r="T17" s="198" t="s">
        <v>585</v>
      </c>
      <c r="U17" s="198" t="s">
        <v>585</v>
      </c>
      <c r="V17" s="198" t="s">
        <v>585</v>
      </c>
      <c r="W17" s="199"/>
      <c r="X17" s="199"/>
      <c r="Y17" s="199"/>
      <c r="Z17" s="199"/>
      <c r="AA17" s="199"/>
      <c r="AB17" s="199"/>
      <c r="AC17" s="199"/>
      <c r="AD17" s="199"/>
      <c r="AE17" s="199"/>
      <c r="AF17" s="199"/>
      <c r="AG17" s="199"/>
      <c r="AH17" s="199"/>
      <c r="AI17" s="199"/>
      <c r="AJ17" s="199"/>
      <c r="AK17" s="199"/>
      <c r="AL17" s="199"/>
      <c r="AM17" s="199"/>
      <c r="AN17" s="199"/>
      <c r="AO17" s="199"/>
      <c r="AP17" s="199"/>
      <c r="AQ17" s="199"/>
      <c r="AR17" s="199"/>
      <c r="AS17" s="199"/>
      <c r="AT17" s="199"/>
      <c r="AU17" s="199"/>
      <c r="AV17" s="199"/>
      <c r="AW17" s="199"/>
      <c r="AX17" s="199"/>
      <c r="AY17" s="199"/>
      <c r="AZ17" s="199"/>
      <c r="BA17" s="199"/>
      <c r="BB17" s="199"/>
      <c r="BC17" s="199"/>
      <c r="BD17" s="199"/>
      <c r="BE17" s="199"/>
      <c r="BF17" s="199"/>
      <c r="BG17" s="199"/>
      <c r="BH17" s="199"/>
      <c r="BI17" s="199"/>
      <c r="BJ17" s="199"/>
      <c r="BK17" s="199"/>
      <c r="BL17" s="199"/>
      <c r="BM17" s="199"/>
      <c r="BN17" s="199"/>
      <c r="BO17" s="199"/>
      <c r="BP17" s="199"/>
      <c r="BQ17" s="199"/>
      <c r="BR17" s="199"/>
      <c r="BS17" s="199"/>
      <c r="BT17" s="199"/>
      <c r="BU17" s="199"/>
      <c r="BV17" s="199"/>
      <c r="BW17" s="199"/>
      <c r="BX17" s="199"/>
      <c r="BY17" s="199"/>
      <c r="BZ17" s="199"/>
      <c r="CA17" s="199"/>
      <c r="CB17" s="199"/>
      <c r="CC17" s="199"/>
      <c r="CD17" s="199"/>
      <c r="CE17" s="199"/>
      <c r="CF17" s="199"/>
      <c r="CG17" s="199"/>
      <c r="CH17" s="199"/>
      <c r="CI17" s="199"/>
      <c r="CJ17" s="199"/>
      <c r="CK17" s="199"/>
      <c r="CL17" s="199"/>
      <c r="CM17" s="199"/>
      <c r="CN17" s="199"/>
      <c r="CO17" s="199"/>
      <c r="CP17" s="199"/>
      <c r="CQ17" s="199"/>
      <c r="CR17" s="199"/>
      <c r="CS17" s="199"/>
      <c r="CT17" s="199"/>
      <c r="CU17" s="199"/>
      <c r="CV17" s="199"/>
      <c r="CW17" s="199"/>
      <c r="CX17" s="199"/>
      <c r="CY17" s="199"/>
      <c r="CZ17" s="199"/>
      <c r="DA17" s="199"/>
      <c r="DB17" s="199"/>
      <c r="DC17" s="199"/>
      <c r="DD17" s="199"/>
      <c r="DE17" s="199"/>
      <c r="DF17" s="199"/>
      <c r="DG17" s="199"/>
      <c r="DH17" s="199"/>
      <c r="DI17" s="199"/>
      <c r="DJ17" s="199"/>
      <c r="DK17" s="199"/>
      <c r="DL17" s="199"/>
      <c r="DM17" s="199"/>
      <c r="DN17" s="199"/>
      <c r="DO17" s="199"/>
      <c r="DP17" s="199"/>
      <c r="DQ17" s="199"/>
      <c r="DR17" s="199"/>
      <c r="DS17" s="199"/>
      <c r="DT17" s="199"/>
      <c r="DU17" s="199"/>
      <c r="DV17" s="199"/>
      <c r="DW17" s="199"/>
      <c r="DX17" s="199"/>
      <c r="DY17" s="199"/>
      <c r="DZ17" s="199"/>
      <c r="EA17" s="199"/>
      <c r="EB17" s="199"/>
      <c r="EC17" s="199"/>
      <c r="ED17" s="199"/>
      <c r="EE17" s="199"/>
      <c r="EF17" s="199"/>
      <c r="EG17" s="199"/>
      <c r="EH17" s="199"/>
      <c r="EI17" s="199"/>
      <c r="EJ17" s="199"/>
      <c r="EK17" s="199"/>
      <c r="EL17" s="199"/>
      <c r="EM17" s="199"/>
      <c r="EN17" s="199"/>
      <c r="EO17" s="199"/>
      <c r="EP17" s="199"/>
      <c r="EQ17" s="199"/>
      <c r="ER17" s="199"/>
      <c r="ES17" s="199"/>
    </row>
    <row r="18" spans="1:149" s="200" customFormat="1" ht="12.75" x14ac:dyDescent="0.2">
      <c r="A18" s="208" t="s">
        <v>827</v>
      </c>
      <c r="B18" s="209" t="s">
        <v>585</v>
      </c>
      <c r="C18" s="209" t="s">
        <v>585</v>
      </c>
      <c r="D18" s="209" t="s">
        <v>585</v>
      </c>
      <c r="E18" s="209" t="s">
        <v>585</v>
      </c>
      <c r="F18" s="209" t="s">
        <v>585</v>
      </c>
      <c r="G18" s="209" t="s">
        <v>585</v>
      </c>
      <c r="H18" s="209" t="s">
        <v>585</v>
      </c>
      <c r="I18" s="209" t="s">
        <v>585</v>
      </c>
      <c r="J18" s="209" t="s">
        <v>585</v>
      </c>
      <c r="K18" s="197" t="s">
        <v>823</v>
      </c>
      <c r="L18" s="197" t="s">
        <v>823</v>
      </c>
      <c r="M18" s="197" t="s">
        <v>823</v>
      </c>
      <c r="N18" s="197" t="s">
        <v>822</v>
      </c>
      <c r="O18" s="197">
        <f>$C$2</f>
        <v>61</v>
      </c>
      <c r="P18" s="197">
        <v>0</v>
      </c>
      <c r="Q18" s="198" t="s">
        <v>585</v>
      </c>
      <c r="R18" s="198" t="s">
        <v>585</v>
      </c>
      <c r="S18" s="198" t="s">
        <v>585</v>
      </c>
      <c r="T18" s="198" t="s">
        <v>585</v>
      </c>
      <c r="U18" s="198" t="s">
        <v>585</v>
      </c>
      <c r="V18" s="198" t="s">
        <v>585</v>
      </c>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c r="AS18" s="199"/>
      <c r="AT18" s="199"/>
      <c r="AU18" s="199"/>
      <c r="AV18" s="199"/>
      <c r="AW18" s="199"/>
      <c r="AX18" s="199"/>
      <c r="AY18" s="199"/>
      <c r="AZ18" s="199"/>
      <c r="BA18" s="199"/>
      <c r="BB18" s="199"/>
      <c r="BC18" s="199"/>
      <c r="BD18" s="199"/>
      <c r="BE18" s="199"/>
      <c r="BF18" s="199"/>
      <c r="BG18" s="199"/>
      <c r="BH18" s="199"/>
      <c r="BI18" s="199"/>
      <c r="BJ18" s="199"/>
      <c r="BK18" s="199"/>
      <c r="BL18" s="199"/>
      <c r="BM18" s="199"/>
      <c r="BN18" s="199"/>
      <c r="BO18" s="199"/>
      <c r="BP18" s="199"/>
      <c r="BQ18" s="199"/>
      <c r="BR18" s="199"/>
      <c r="BS18" s="199"/>
      <c r="BT18" s="199"/>
      <c r="BU18" s="199"/>
      <c r="BV18" s="199"/>
      <c r="BW18" s="199"/>
      <c r="BX18" s="199"/>
      <c r="BY18" s="199"/>
      <c r="BZ18" s="199"/>
      <c r="CA18" s="199"/>
      <c r="CB18" s="199"/>
      <c r="CC18" s="199"/>
      <c r="CD18" s="199"/>
      <c r="CE18" s="199"/>
      <c r="CF18" s="199"/>
      <c r="CG18" s="199"/>
      <c r="CH18" s="199"/>
      <c r="CI18" s="199"/>
      <c r="CJ18" s="199"/>
      <c r="CK18" s="199"/>
      <c r="CL18" s="199"/>
      <c r="CM18" s="199"/>
      <c r="CN18" s="199"/>
      <c r="CO18" s="199"/>
      <c r="CP18" s="199"/>
      <c r="CQ18" s="199"/>
      <c r="CR18" s="199"/>
      <c r="CS18" s="199"/>
      <c r="CT18" s="199"/>
      <c r="CU18" s="199"/>
      <c r="CV18" s="199"/>
      <c r="CW18" s="199"/>
      <c r="CX18" s="199"/>
      <c r="CY18" s="199"/>
      <c r="CZ18" s="199"/>
      <c r="DA18" s="199"/>
      <c r="DB18" s="199"/>
      <c r="DC18" s="199"/>
      <c r="DD18" s="199"/>
      <c r="DE18" s="199"/>
      <c r="DF18" s="199"/>
      <c r="DG18" s="199"/>
      <c r="DH18" s="199"/>
      <c r="DI18" s="199"/>
      <c r="DJ18" s="199"/>
      <c r="DK18" s="199"/>
      <c r="DL18" s="199"/>
      <c r="DM18" s="199"/>
      <c r="DN18" s="199"/>
      <c r="DO18" s="199"/>
      <c r="DP18" s="199"/>
      <c r="DQ18" s="199"/>
      <c r="DR18" s="199"/>
      <c r="DS18" s="199"/>
      <c r="DT18" s="199"/>
      <c r="DU18" s="199"/>
      <c r="DV18" s="199"/>
      <c r="DW18" s="199"/>
      <c r="DX18" s="199"/>
      <c r="DY18" s="199"/>
      <c r="DZ18" s="199"/>
      <c r="EA18" s="199"/>
      <c r="EB18" s="199"/>
      <c r="EC18" s="199"/>
      <c r="ED18" s="199"/>
      <c r="EE18" s="199"/>
      <c r="EF18" s="199"/>
      <c r="EG18" s="199"/>
      <c r="EH18" s="199"/>
      <c r="EI18" s="199"/>
      <c r="EJ18" s="199"/>
      <c r="EK18" s="199"/>
      <c r="EL18" s="199"/>
      <c r="EM18" s="199"/>
      <c r="EN18" s="199"/>
      <c r="EO18" s="199"/>
      <c r="EP18" s="199"/>
      <c r="EQ18" s="199"/>
      <c r="ER18" s="199"/>
      <c r="ES18" s="199"/>
    </row>
    <row r="19" spans="1:149" s="206" customFormat="1" ht="12.75" x14ac:dyDescent="0.2">
      <c r="A19" s="210" t="s">
        <v>826</v>
      </c>
      <c r="B19" s="211" t="s">
        <v>585</v>
      </c>
      <c r="C19" s="211" t="s">
        <v>585</v>
      </c>
      <c r="D19" s="211" t="s">
        <v>585</v>
      </c>
      <c r="E19" s="211" t="s">
        <v>585</v>
      </c>
      <c r="F19" s="211" t="s">
        <v>585</v>
      </c>
      <c r="G19" s="211" t="s">
        <v>585</v>
      </c>
      <c r="H19" s="211" t="s">
        <v>585</v>
      </c>
      <c r="I19" s="211" t="s">
        <v>585</v>
      </c>
      <c r="J19" s="211" t="s">
        <v>585</v>
      </c>
      <c r="K19" s="203" t="s">
        <v>823</v>
      </c>
      <c r="L19" s="203" t="s">
        <v>823</v>
      </c>
      <c r="M19" s="203" t="s">
        <v>823</v>
      </c>
      <c r="N19" s="204" t="s">
        <v>585</v>
      </c>
      <c r="O19" s="204" t="s">
        <v>585</v>
      </c>
      <c r="P19" s="204" t="s">
        <v>585</v>
      </c>
      <c r="Q19" s="212" t="s">
        <v>822</v>
      </c>
      <c r="R19" s="212">
        <f>$C$2</f>
        <v>61</v>
      </c>
      <c r="S19" s="212">
        <v>0</v>
      </c>
      <c r="T19" s="212" t="s">
        <v>822</v>
      </c>
      <c r="U19" s="212">
        <f>$C$2</f>
        <v>61</v>
      </c>
      <c r="V19" s="212">
        <v>0</v>
      </c>
      <c r="W19" s="199"/>
      <c r="X19" s="199"/>
      <c r="Y19" s="199" t="s">
        <v>825</v>
      </c>
      <c r="Z19" s="199"/>
      <c r="AA19" s="199"/>
      <c r="AB19" s="199"/>
      <c r="AC19" s="199"/>
      <c r="AD19" s="199"/>
      <c r="AE19" s="199"/>
      <c r="AF19" s="199"/>
      <c r="AG19" s="199"/>
      <c r="AH19" s="199"/>
      <c r="AI19" s="199"/>
      <c r="AJ19" s="199"/>
      <c r="AK19" s="199"/>
      <c r="AL19" s="199"/>
      <c r="AM19" s="199"/>
      <c r="AN19" s="199"/>
      <c r="AO19" s="199"/>
      <c r="AP19" s="199"/>
      <c r="AQ19" s="199"/>
      <c r="AR19" s="199"/>
      <c r="AS19" s="199"/>
      <c r="AT19" s="199"/>
      <c r="AU19" s="199"/>
      <c r="AV19" s="199"/>
      <c r="AW19" s="199"/>
      <c r="AX19" s="199"/>
      <c r="AY19" s="199"/>
      <c r="AZ19" s="199"/>
      <c r="BA19" s="199"/>
      <c r="BB19" s="199"/>
      <c r="BC19" s="199"/>
      <c r="BD19" s="199"/>
      <c r="BE19" s="199"/>
      <c r="BF19" s="199"/>
      <c r="BG19" s="199"/>
      <c r="BH19" s="199"/>
      <c r="BI19" s="199"/>
      <c r="BJ19" s="199"/>
      <c r="BK19" s="199"/>
      <c r="BL19" s="199"/>
      <c r="BM19" s="199"/>
      <c r="BN19" s="199"/>
      <c r="BO19" s="199"/>
      <c r="BP19" s="199"/>
      <c r="BQ19" s="199"/>
      <c r="BR19" s="199"/>
      <c r="BS19" s="199"/>
      <c r="BT19" s="199"/>
      <c r="BU19" s="199"/>
      <c r="BV19" s="199"/>
      <c r="BW19" s="199"/>
      <c r="BX19" s="199"/>
      <c r="BY19" s="199"/>
      <c r="BZ19" s="199"/>
      <c r="CA19" s="199"/>
      <c r="CB19" s="199"/>
      <c r="CC19" s="199"/>
      <c r="CD19" s="199"/>
      <c r="CE19" s="199"/>
      <c r="CF19" s="199"/>
      <c r="CG19" s="199"/>
      <c r="CH19" s="199"/>
      <c r="CI19" s="199"/>
      <c r="CJ19" s="199"/>
      <c r="CK19" s="199"/>
      <c r="CL19" s="199"/>
      <c r="CM19" s="199"/>
      <c r="CN19" s="199"/>
      <c r="CO19" s="199"/>
      <c r="CP19" s="199"/>
      <c r="CQ19" s="199"/>
      <c r="CR19" s="199"/>
      <c r="CS19" s="199"/>
      <c r="CT19" s="199"/>
      <c r="CU19" s="199"/>
      <c r="CV19" s="199"/>
      <c r="CW19" s="199"/>
      <c r="CX19" s="199"/>
      <c r="CY19" s="199"/>
      <c r="CZ19" s="199"/>
      <c r="DA19" s="199"/>
      <c r="DB19" s="199"/>
      <c r="DC19" s="199"/>
      <c r="DD19" s="199"/>
      <c r="DE19" s="199"/>
      <c r="DF19" s="199"/>
      <c r="DG19" s="199"/>
      <c r="DH19" s="199"/>
      <c r="DI19" s="199"/>
      <c r="DJ19" s="199"/>
      <c r="DK19" s="199"/>
      <c r="DL19" s="199"/>
      <c r="DM19" s="199"/>
      <c r="DN19" s="199"/>
      <c r="DO19" s="199"/>
      <c r="DP19" s="199"/>
      <c r="DQ19" s="199"/>
      <c r="DR19" s="199"/>
      <c r="DS19" s="199"/>
      <c r="DT19" s="199"/>
      <c r="DU19" s="199"/>
      <c r="DV19" s="199"/>
      <c r="DW19" s="199"/>
      <c r="DX19" s="199"/>
      <c r="DY19" s="199"/>
      <c r="DZ19" s="199"/>
      <c r="EA19" s="199"/>
      <c r="EB19" s="199"/>
      <c r="EC19" s="199"/>
      <c r="ED19" s="199"/>
      <c r="EE19" s="199"/>
      <c r="EF19" s="199"/>
      <c r="EG19" s="199"/>
      <c r="EH19" s="199"/>
      <c r="EI19" s="199"/>
      <c r="EJ19" s="199"/>
      <c r="EK19" s="199"/>
      <c r="EL19" s="199"/>
      <c r="EM19" s="199"/>
      <c r="EN19" s="199"/>
      <c r="EO19" s="199"/>
      <c r="EP19" s="199"/>
      <c r="EQ19" s="199"/>
      <c r="ER19" s="199"/>
      <c r="ES19" s="199"/>
    </row>
    <row r="20" spans="1:149" s="200" customFormat="1" ht="12.75" x14ac:dyDescent="0.2">
      <c r="A20" s="208" t="s">
        <v>824</v>
      </c>
      <c r="B20" s="209" t="s">
        <v>585</v>
      </c>
      <c r="C20" s="209" t="s">
        <v>585</v>
      </c>
      <c r="D20" s="209" t="s">
        <v>585</v>
      </c>
      <c r="E20" s="209" t="s">
        <v>585</v>
      </c>
      <c r="F20" s="209" t="s">
        <v>585</v>
      </c>
      <c r="G20" s="209" t="s">
        <v>585</v>
      </c>
      <c r="H20" s="209" t="s">
        <v>585</v>
      </c>
      <c r="I20" s="209" t="s">
        <v>585</v>
      </c>
      <c r="J20" s="209" t="s">
        <v>585</v>
      </c>
      <c r="K20" s="197" t="s">
        <v>823</v>
      </c>
      <c r="L20" s="197" t="s">
        <v>823</v>
      </c>
      <c r="M20" s="197" t="s">
        <v>823</v>
      </c>
      <c r="N20" s="198" t="s">
        <v>585</v>
      </c>
      <c r="O20" s="198" t="s">
        <v>585</v>
      </c>
      <c r="P20" s="198" t="s">
        <v>585</v>
      </c>
      <c r="Q20" s="197" t="s">
        <v>822</v>
      </c>
      <c r="R20" s="197">
        <f>$C$2</f>
        <v>61</v>
      </c>
      <c r="S20" s="197">
        <v>0</v>
      </c>
      <c r="T20" s="197" t="s">
        <v>821</v>
      </c>
      <c r="U20" s="197">
        <f>$C$2</f>
        <v>61</v>
      </c>
      <c r="V20" s="197">
        <v>0</v>
      </c>
      <c r="W20" s="199"/>
      <c r="X20" s="199"/>
      <c r="Y20" s="199" t="s">
        <v>820</v>
      </c>
      <c r="Z20" s="199"/>
      <c r="AA20" s="199"/>
      <c r="AB20" s="199"/>
      <c r="AC20" s="199"/>
      <c r="AD20" s="199"/>
      <c r="AE20" s="199"/>
      <c r="AG20" s="199"/>
      <c r="AH20" s="199"/>
      <c r="AI20" s="199"/>
      <c r="AJ20" s="199"/>
      <c r="AK20" s="199"/>
      <c r="AL20" s="199"/>
      <c r="AM20" s="199"/>
      <c r="AN20" s="199"/>
      <c r="AO20" s="199"/>
      <c r="AP20" s="199"/>
      <c r="AQ20" s="199"/>
      <c r="AR20" s="199"/>
      <c r="AS20" s="199"/>
      <c r="AT20" s="199"/>
      <c r="AU20" s="199"/>
      <c r="AV20" s="199"/>
      <c r="AW20" s="199"/>
      <c r="AX20" s="199"/>
      <c r="AY20" s="199"/>
      <c r="AZ20" s="199"/>
      <c r="BA20" s="199"/>
      <c r="BB20" s="199"/>
      <c r="BC20" s="199"/>
      <c r="BD20" s="199"/>
      <c r="BE20" s="199"/>
      <c r="BF20" s="199"/>
      <c r="BG20" s="199"/>
      <c r="BH20" s="199"/>
      <c r="BI20" s="199"/>
      <c r="BJ20" s="199"/>
      <c r="BK20" s="199"/>
      <c r="BL20" s="199"/>
      <c r="BM20" s="199"/>
      <c r="BN20" s="199"/>
      <c r="BO20" s="199"/>
      <c r="BP20" s="199"/>
      <c r="BQ20" s="199"/>
      <c r="BR20" s="199"/>
      <c r="BS20" s="199"/>
      <c r="BT20" s="199"/>
      <c r="BU20" s="199"/>
      <c r="BV20" s="199"/>
      <c r="BW20" s="199"/>
      <c r="BX20" s="199"/>
      <c r="BY20" s="199"/>
      <c r="BZ20" s="199"/>
      <c r="CA20" s="199"/>
      <c r="CB20" s="199"/>
      <c r="CC20" s="199"/>
      <c r="CD20" s="199"/>
      <c r="CE20" s="199"/>
      <c r="CF20" s="199"/>
      <c r="CG20" s="199"/>
      <c r="CH20" s="199"/>
      <c r="CI20" s="199"/>
      <c r="CJ20" s="199"/>
      <c r="CK20" s="199"/>
      <c r="CL20" s="199"/>
      <c r="CM20" s="199"/>
      <c r="CN20" s="199"/>
      <c r="CO20" s="199"/>
      <c r="CP20" s="199"/>
      <c r="CQ20" s="199"/>
      <c r="CR20" s="199"/>
      <c r="CS20" s="199"/>
      <c r="CT20" s="199"/>
      <c r="CU20" s="199"/>
      <c r="CV20" s="199"/>
      <c r="CW20" s="199"/>
      <c r="CX20" s="199"/>
      <c r="CY20" s="199"/>
      <c r="CZ20" s="199"/>
      <c r="DA20" s="199"/>
      <c r="DB20" s="199"/>
      <c r="DC20" s="199"/>
      <c r="DD20" s="199"/>
      <c r="DE20" s="199"/>
      <c r="DF20" s="199"/>
      <c r="DG20" s="199"/>
      <c r="DH20" s="199"/>
      <c r="DI20" s="199"/>
      <c r="DJ20" s="199"/>
      <c r="DK20" s="199"/>
      <c r="DL20" s="199"/>
      <c r="DM20" s="199"/>
      <c r="DN20" s="199"/>
      <c r="DO20" s="199"/>
      <c r="DP20" s="199"/>
      <c r="DQ20" s="199"/>
      <c r="DR20" s="199"/>
      <c r="DS20" s="199"/>
      <c r="DT20" s="199"/>
      <c r="DU20" s="199"/>
      <c r="DV20" s="199"/>
      <c r="DW20" s="199"/>
      <c r="DX20" s="199"/>
      <c r="DY20" s="199"/>
      <c r="DZ20" s="199"/>
      <c r="EA20" s="199"/>
      <c r="EB20" s="199"/>
      <c r="EC20" s="199"/>
      <c r="ED20" s="199"/>
      <c r="EE20" s="199"/>
      <c r="EF20" s="199"/>
      <c r="EG20" s="199"/>
      <c r="EH20" s="199"/>
      <c r="EI20" s="199"/>
      <c r="EJ20" s="199"/>
      <c r="EK20" s="199"/>
      <c r="EL20" s="199"/>
      <c r="EM20" s="199"/>
      <c r="EN20" s="199"/>
      <c r="EO20" s="199"/>
      <c r="EP20" s="199"/>
      <c r="EQ20" s="199"/>
      <c r="ER20" s="199"/>
      <c r="ES20" s="199"/>
    </row>
    <row r="21" spans="1:149" s="206" customFormat="1" ht="12.75" x14ac:dyDescent="0.2">
      <c r="A21" s="213" t="s">
        <v>819</v>
      </c>
      <c r="B21" s="206" t="s">
        <v>818</v>
      </c>
      <c r="C21" s="206" t="s">
        <v>926</v>
      </c>
      <c r="D21" s="206" t="s">
        <v>817</v>
      </c>
      <c r="W21" s="199"/>
      <c r="X21" s="199"/>
      <c r="Y21" s="199" t="s">
        <v>816</v>
      </c>
      <c r="Z21" s="199"/>
      <c r="AA21" s="199"/>
      <c r="AB21" s="199"/>
      <c r="AC21" s="199"/>
      <c r="AD21" s="199"/>
      <c r="AE21" s="199"/>
      <c r="AF21" s="199"/>
      <c r="AG21" s="199"/>
      <c r="AH21" s="199"/>
      <c r="AI21" s="199"/>
      <c r="AJ21" s="199"/>
      <c r="AK21" s="199"/>
      <c r="AL21" s="199"/>
      <c r="AM21" s="199"/>
      <c r="AN21" s="199"/>
      <c r="AO21" s="199"/>
      <c r="AP21" s="199"/>
      <c r="AQ21" s="199"/>
      <c r="AR21" s="199"/>
      <c r="AS21" s="199"/>
      <c r="AT21" s="199"/>
      <c r="AU21" s="199"/>
      <c r="AV21" s="199"/>
      <c r="AW21" s="199"/>
      <c r="AX21" s="199"/>
      <c r="AY21" s="199"/>
      <c r="AZ21" s="199"/>
      <c r="BA21" s="199"/>
      <c r="BB21" s="199"/>
      <c r="BC21" s="199"/>
      <c r="BD21" s="199"/>
      <c r="BE21" s="199"/>
      <c r="BF21" s="199"/>
      <c r="BG21" s="199"/>
      <c r="BH21" s="199"/>
      <c r="BI21" s="199"/>
      <c r="BJ21" s="199"/>
      <c r="BK21" s="199"/>
      <c r="BL21" s="199"/>
      <c r="BM21" s="199"/>
      <c r="BN21" s="199"/>
      <c r="BO21" s="199"/>
      <c r="BP21" s="199"/>
      <c r="BQ21" s="199"/>
      <c r="BR21" s="199"/>
      <c r="BS21" s="199"/>
      <c r="BT21" s="199"/>
      <c r="BU21" s="199"/>
      <c r="BV21" s="199"/>
      <c r="BW21" s="199"/>
      <c r="BX21" s="199"/>
      <c r="BY21" s="199"/>
      <c r="BZ21" s="199"/>
      <c r="CA21" s="199"/>
      <c r="CB21" s="199"/>
      <c r="CC21" s="199"/>
      <c r="CD21" s="199"/>
      <c r="CE21" s="199"/>
      <c r="CF21" s="199"/>
      <c r="CG21" s="199"/>
      <c r="CH21" s="199"/>
      <c r="CI21" s="199"/>
      <c r="CJ21" s="199"/>
      <c r="CK21" s="199"/>
      <c r="CL21" s="199"/>
      <c r="CM21" s="199"/>
      <c r="CN21" s="199"/>
      <c r="CO21" s="199"/>
      <c r="CP21" s="199"/>
      <c r="CQ21" s="199"/>
      <c r="CR21" s="199"/>
      <c r="CS21" s="199"/>
      <c r="CT21" s="199"/>
      <c r="CU21" s="199"/>
      <c r="CV21" s="199"/>
      <c r="CW21" s="199"/>
      <c r="CX21" s="199"/>
      <c r="CY21" s="199"/>
      <c r="CZ21" s="199"/>
      <c r="DA21" s="199"/>
      <c r="DB21" s="199"/>
      <c r="DC21" s="199"/>
      <c r="DD21" s="199"/>
      <c r="DE21" s="199"/>
      <c r="DF21" s="199"/>
      <c r="DG21" s="199"/>
      <c r="DH21" s="199"/>
      <c r="DI21" s="199"/>
      <c r="DJ21" s="199"/>
      <c r="DK21" s="199"/>
      <c r="DL21" s="199"/>
      <c r="DM21" s="199"/>
      <c r="DN21" s="199"/>
      <c r="DO21" s="199"/>
      <c r="DP21" s="199"/>
      <c r="DQ21" s="199"/>
      <c r="DR21" s="199"/>
      <c r="DS21" s="199"/>
      <c r="DT21" s="199"/>
      <c r="DU21" s="199"/>
      <c r="DV21" s="199"/>
      <c r="DW21" s="199"/>
      <c r="DX21" s="199"/>
      <c r="DY21" s="199"/>
      <c r="DZ21" s="199"/>
      <c r="EA21" s="199"/>
      <c r="EB21" s="199"/>
      <c r="EC21" s="199"/>
      <c r="ED21" s="199"/>
      <c r="EE21" s="199"/>
      <c r="EF21" s="199"/>
      <c r="EG21" s="199"/>
      <c r="EH21" s="199"/>
      <c r="EI21" s="199"/>
      <c r="EJ21" s="199"/>
      <c r="EK21" s="199"/>
      <c r="EL21" s="199"/>
      <c r="EM21" s="199"/>
      <c r="EN21" s="199"/>
      <c r="EO21" s="199"/>
      <c r="EP21" s="199"/>
      <c r="EQ21" s="199"/>
      <c r="ER21" s="199"/>
      <c r="ES21" s="199"/>
    </row>
    <row r="22" spans="1:149" x14ac:dyDescent="0.25">
      <c r="J22" s="183"/>
      <c r="K22" s="182"/>
      <c r="Y22" s="165" t="s">
        <v>815</v>
      </c>
    </row>
    <row r="23" spans="1:149" x14ac:dyDescent="0.25">
      <c r="Y23" s="165" t="s">
        <v>814</v>
      </c>
    </row>
    <row r="24" spans="1:149" ht="26.25" x14ac:dyDescent="0.4">
      <c r="A24" s="178"/>
      <c r="B24" s="171"/>
      <c r="C24" s="171"/>
      <c r="D24" s="171"/>
      <c r="E24" s="171"/>
      <c r="F24" s="171"/>
      <c r="G24" s="171"/>
      <c r="H24" s="171"/>
      <c r="I24" s="171"/>
      <c r="J24" s="171"/>
      <c r="K24" s="171"/>
      <c r="L24" s="171"/>
      <c r="M24" s="171"/>
      <c r="N24" s="171"/>
      <c r="O24" s="171"/>
      <c r="P24" s="171"/>
      <c r="Q24" s="171"/>
      <c r="R24" s="171"/>
      <c r="S24" s="171"/>
      <c r="T24" s="171"/>
      <c r="U24" s="171"/>
      <c r="V24" s="171"/>
      <c r="Y24" s="165" t="s">
        <v>813</v>
      </c>
    </row>
    <row r="25" spans="1:149" ht="18.75" customHeight="1" x14ac:dyDescent="0.3">
      <c r="A25" s="175"/>
      <c r="B25" s="177"/>
      <c r="C25" s="177"/>
      <c r="D25" s="177"/>
      <c r="E25" s="177"/>
      <c r="F25" s="396"/>
      <c r="G25" s="396"/>
      <c r="H25" s="181"/>
      <c r="I25" s="180"/>
      <c r="J25" s="177"/>
      <c r="K25" s="177"/>
      <c r="L25" s="177"/>
      <c r="M25" s="177"/>
      <c r="N25" s="177"/>
      <c r="O25" s="177"/>
      <c r="P25" s="177"/>
      <c r="Q25" s="177"/>
      <c r="R25" s="177"/>
      <c r="S25" s="177"/>
      <c r="T25" s="177"/>
      <c r="U25" s="177"/>
      <c r="V25" s="177"/>
      <c r="Y25" s="165" t="s">
        <v>812</v>
      </c>
    </row>
    <row r="26" spans="1:149" ht="17.45" customHeight="1" x14ac:dyDescent="0.25">
      <c r="A26" s="175"/>
      <c r="B26" s="176"/>
      <c r="C26" s="176"/>
      <c r="D26" s="176"/>
      <c r="E26" s="176"/>
      <c r="F26" s="176"/>
      <c r="G26" s="176"/>
      <c r="H26" s="176"/>
      <c r="I26" s="176"/>
      <c r="J26" s="176"/>
      <c r="K26" s="176"/>
      <c r="L26" s="176"/>
      <c r="M26" s="176"/>
      <c r="N26" s="176"/>
      <c r="O26" s="176"/>
      <c r="P26" s="176"/>
      <c r="Q26" s="176"/>
      <c r="R26" s="176"/>
      <c r="S26" s="176"/>
      <c r="T26" s="176"/>
      <c r="U26" s="176"/>
      <c r="V26" s="176"/>
      <c r="Y26" s="165" t="s">
        <v>811</v>
      </c>
    </row>
    <row r="27" spans="1:149" ht="14.25" customHeight="1" x14ac:dyDescent="0.25">
      <c r="A27" s="175"/>
      <c r="B27" s="174"/>
      <c r="C27" s="174"/>
      <c r="D27" s="174"/>
      <c r="E27" s="174"/>
      <c r="F27" s="174"/>
      <c r="G27" s="174"/>
      <c r="H27" s="174"/>
      <c r="I27" s="174"/>
      <c r="J27" s="174"/>
      <c r="K27" s="174"/>
      <c r="L27" s="174"/>
      <c r="M27" s="174"/>
      <c r="N27" s="174"/>
      <c r="O27" s="174"/>
      <c r="P27" s="174"/>
      <c r="Q27" s="174"/>
      <c r="R27" s="174"/>
      <c r="S27" s="174"/>
      <c r="T27" s="174"/>
      <c r="U27" s="174"/>
      <c r="V27" s="174"/>
      <c r="Y27" s="165" t="s">
        <v>810</v>
      </c>
    </row>
    <row r="28" spans="1:149" s="172" customFormat="1" x14ac:dyDescent="0.25">
      <c r="A28" s="171"/>
      <c r="B28" s="168"/>
      <c r="C28" s="168"/>
      <c r="D28" s="168"/>
      <c r="E28" s="168"/>
      <c r="F28" s="168"/>
      <c r="G28" s="168"/>
      <c r="H28" s="168"/>
      <c r="I28" s="168"/>
      <c r="J28" s="168"/>
      <c r="K28" s="168"/>
      <c r="L28" s="168"/>
      <c r="M28" s="168"/>
      <c r="N28" s="169"/>
      <c r="O28" s="169"/>
      <c r="P28" s="169"/>
      <c r="Q28" s="169"/>
      <c r="R28" s="169"/>
      <c r="S28" s="169"/>
      <c r="T28" s="169"/>
      <c r="U28" s="169"/>
      <c r="V28" s="169"/>
      <c r="W28" s="165"/>
      <c r="X28" s="165"/>
      <c r="Y28" s="165" t="s">
        <v>809</v>
      </c>
      <c r="Z28" s="165"/>
      <c r="AA28" s="165"/>
      <c r="AB28" s="165"/>
      <c r="AC28" s="165"/>
      <c r="AD28" s="165"/>
      <c r="AE28" s="165"/>
      <c r="AG28" s="165"/>
      <c r="AH28" s="165"/>
      <c r="AI28" s="165"/>
      <c r="AJ28" s="165"/>
      <c r="AK28" s="165"/>
      <c r="AL28" s="165"/>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5"/>
      <c r="BQ28" s="165"/>
      <c r="BR28" s="165"/>
      <c r="BS28" s="165"/>
      <c r="BT28" s="165"/>
      <c r="BU28" s="165"/>
      <c r="BV28" s="165"/>
      <c r="BW28" s="165"/>
      <c r="BX28" s="165"/>
      <c r="BY28" s="165"/>
      <c r="BZ28" s="165"/>
      <c r="CA28" s="165"/>
      <c r="CB28" s="165"/>
      <c r="CC28" s="165"/>
      <c r="CD28" s="165"/>
      <c r="CE28" s="165"/>
      <c r="CF28" s="165"/>
      <c r="CG28" s="165"/>
      <c r="CH28" s="165"/>
      <c r="CI28" s="165"/>
      <c r="CJ28" s="165"/>
      <c r="CK28" s="165"/>
      <c r="CL28" s="165"/>
      <c r="CM28" s="165"/>
      <c r="CN28" s="165"/>
      <c r="CO28" s="165"/>
      <c r="CP28" s="165"/>
      <c r="CQ28" s="165"/>
      <c r="CR28" s="165"/>
      <c r="CS28" s="165"/>
      <c r="CT28" s="165"/>
      <c r="CU28" s="165"/>
      <c r="CV28" s="165"/>
      <c r="CW28" s="165"/>
      <c r="CX28" s="165"/>
      <c r="CY28" s="165"/>
      <c r="CZ28" s="165"/>
      <c r="DA28" s="165"/>
      <c r="DB28" s="165"/>
      <c r="DC28" s="165"/>
      <c r="DD28" s="165"/>
      <c r="DE28" s="165"/>
      <c r="DF28" s="165"/>
      <c r="DG28" s="165"/>
      <c r="DH28" s="165"/>
      <c r="DI28" s="165"/>
      <c r="DJ28" s="165"/>
      <c r="DK28" s="165"/>
      <c r="DL28" s="165"/>
      <c r="DM28" s="165"/>
      <c r="DN28" s="165"/>
      <c r="DO28" s="165"/>
      <c r="DP28" s="165"/>
      <c r="DQ28" s="165"/>
      <c r="DR28" s="165"/>
      <c r="DS28" s="165"/>
      <c r="DT28" s="165"/>
      <c r="DU28" s="165"/>
      <c r="DV28" s="165"/>
      <c r="DW28" s="165"/>
      <c r="DX28" s="165"/>
      <c r="DY28" s="165"/>
      <c r="DZ28" s="165"/>
      <c r="EA28" s="165"/>
      <c r="EB28" s="165"/>
      <c r="EC28" s="165"/>
      <c r="ED28" s="165"/>
      <c r="EE28" s="165"/>
      <c r="EF28" s="165"/>
      <c r="EG28" s="165"/>
      <c r="EH28" s="165"/>
      <c r="EI28" s="165"/>
      <c r="EJ28" s="165"/>
      <c r="EK28" s="165"/>
      <c r="EL28" s="165"/>
      <c r="EM28" s="165"/>
      <c r="EN28" s="165"/>
      <c r="EO28" s="165"/>
      <c r="EP28" s="165"/>
      <c r="EQ28" s="165"/>
      <c r="ER28" s="165"/>
      <c r="ES28" s="165"/>
    </row>
    <row r="29" spans="1:149" x14ac:dyDescent="0.25">
      <c r="A29" s="171"/>
      <c r="B29" s="168"/>
      <c r="C29" s="168"/>
      <c r="D29" s="168"/>
      <c r="E29" s="168"/>
      <c r="F29" s="168"/>
      <c r="G29" s="168"/>
      <c r="H29" s="168"/>
      <c r="I29" s="168"/>
      <c r="J29" s="168"/>
      <c r="K29" s="168"/>
      <c r="L29" s="168"/>
      <c r="M29" s="168"/>
      <c r="N29" s="169"/>
      <c r="O29" s="169"/>
      <c r="P29" s="169"/>
      <c r="Q29" s="169"/>
      <c r="R29" s="169"/>
      <c r="S29" s="169"/>
      <c r="T29" s="169"/>
      <c r="U29" s="169"/>
      <c r="V29" s="169"/>
      <c r="Y29" s="179" t="s">
        <v>808</v>
      </c>
    </row>
    <row r="30" spans="1:149" x14ac:dyDescent="0.25">
      <c r="A30" s="171"/>
      <c r="B30" s="168"/>
      <c r="C30" s="168"/>
      <c r="D30" s="168"/>
      <c r="E30" s="168"/>
      <c r="F30" s="168"/>
      <c r="G30" s="168"/>
      <c r="H30" s="168"/>
      <c r="I30" s="168"/>
      <c r="J30" s="168"/>
      <c r="K30" s="168"/>
      <c r="L30" s="168"/>
      <c r="M30" s="168"/>
      <c r="N30" s="169"/>
      <c r="O30" s="169"/>
      <c r="P30" s="169"/>
      <c r="Q30" s="169"/>
      <c r="R30" s="169"/>
      <c r="S30" s="169"/>
      <c r="T30" s="169"/>
      <c r="U30" s="169"/>
      <c r="V30" s="169"/>
      <c r="Y30" s="165" t="s">
        <v>807</v>
      </c>
    </row>
    <row r="31" spans="1:149" s="172" customFormat="1" x14ac:dyDescent="0.25">
      <c r="A31" s="171"/>
      <c r="B31" s="168"/>
      <c r="C31" s="168"/>
      <c r="D31" s="168"/>
      <c r="E31" s="168"/>
      <c r="F31" s="168"/>
      <c r="G31" s="168"/>
      <c r="H31" s="168"/>
      <c r="I31" s="168"/>
      <c r="J31" s="168"/>
      <c r="K31" s="168"/>
      <c r="L31" s="168"/>
      <c r="M31" s="168"/>
      <c r="N31" s="169"/>
      <c r="O31" s="169"/>
      <c r="P31" s="169"/>
      <c r="Q31" s="169"/>
      <c r="R31" s="169"/>
      <c r="S31" s="169"/>
      <c r="T31" s="169"/>
      <c r="U31" s="169"/>
      <c r="V31" s="169"/>
      <c r="W31" s="165"/>
      <c r="X31" s="165"/>
      <c r="Y31" s="165" t="s">
        <v>806</v>
      </c>
      <c r="Z31" s="165"/>
      <c r="AA31" s="165"/>
      <c r="AB31" s="165"/>
      <c r="AC31" s="165"/>
      <c r="AD31" s="165"/>
      <c r="AE31" s="165"/>
      <c r="AG31" s="165"/>
      <c r="AH31" s="165"/>
      <c r="AI31" s="165"/>
      <c r="AJ31" s="165"/>
      <c r="AK31" s="165"/>
      <c r="AL31" s="165"/>
      <c r="AM31" s="165"/>
      <c r="AN31" s="165"/>
      <c r="AO31" s="165"/>
      <c r="AP31" s="165"/>
      <c r="AQ31" s="165"/>
      <c r="AR31" s="165"/>
      <c r="AS31" s="165"/>
      <c r="AT31" s="165"/>
      <c r="AU31" s="165"/>
      <c r="AV31" s="165"/>
      <c r="AW31" s="165"/>
      <c r="AX31" s="165"/>
      <c r="AY31" s="165"/>
      <c r="AZ31" s="165"/>
      <c r="BA31" s="165"/>
      <c r="BB31" s="165"/>
      <c r="BC31" s="165"/>
      <c r="BD31" s="165"/>
      <c r="BE31" s="165"/>
      <c r="BF31" s="165"/>
      <c r="BG31" s="165"/>
      <c r="BH31" s="165"/>
      <c r="BI31" s="165"/>
      <c r="BJ31" s="165"/>
      <c r="BK31" s="165"/>
      <c r="BL31" s="165"/>
      <c r="BM31" s="165"/>
      <c r="BN31" s="165"/>
      <c r="BO31" s="165"/>
      <c r="BP31" s="165"/>
      <c r="BQ31" s="165"/>
      <c r="BR31" s="165"/>
      <c r="BS31" s="165"/>
      <c r="BT31" s="165"/>
      <c r="BU31" s="165"/>
      <c r="BV31" s="165"/>
      <c r="BW31" s="165"/>
      <c r="BX31" s="165"/>
      <c r="BY31" s="165"/>
      <c r="BZ31" s="165"/>
      <c r="CA31" s="165"/>
      <c r="CB31" s="165"/>
      <c r="CC31" s="165"/>
      <c r="CD31" s="165"/>
      <c r="CE31" s="165"/>
      <c r="CF31" s="165"/>
      <c r="CG31" s="165"/>
      <c r="CH31" s="165"/>
      <c r="CI31" s="165"/>
      <c r="CJ31" s="165"/>
      <c r="CK31" s="165"/>
      <c r="CL31" s="165"/>
      <c r="CM31" s="165"/>
      <c r="CN31" s="165"/>
      <c r="CO31" s="165"/>
      <c r="CP31" s="165"/>
      <c r="CQ31" s="165"/>
      <c r="CR31" s="165"/>
      <c r="CS31" s="165"/>
      <c r="CT31" s="165"/>
      <c r="CU31" s="165"/>
      <c r="CV31" s="165"/>
      <c r="CW31" s="165"/>
      <c r="CX31" s="165"/>
      <c r="CY31" s="165"/>
      <c r="CZ31" s="165"/>
      <c r="DA31" s="165"/>
      <c r="DB31" s="165"/>
      <c r="DC31" s="165"/>
      <c r="DD31" s="165"/>
      <c r="DE31" s="165"/>
      <c r="DF31" s="165"/>
      <c r="DG31" s="165"/>
      <c r="DH31" s="165"/>
      <c r="DI31" s="165"/>
      <c r="DJ31" s="165"/>
      <c r="DK31" s="165"/>
      <c r="DL31" s="165"/>
      <c r="DM31" s="165"/>
      <c r="DN31" s="165"/>
      <c r="DO31" s="165"/>
      <c r="DP31" s="165"/>
      <c r="DQ31" s="165"/>
      <c r="DR31" s="165"/>
      <c r="DS31" s="165"/>
      <c r="DT31" s="165"/>
      <c r="DU31" s="165"/>
      <c r="DV31" s="165"/>
      <c r="DW31" s="165"/>
      <c r="DX31" s="165"/>
      <c r="DY31" s="165"/>
      <c r="DZ31" s="165"/>
      <c r="EA31" s="165"/>
      <c r="EB31" s="165"/>
      <c r="EC31" s="165"/>
      <c r="ED31" s="165"/>
      <c r="EE31" s="165"/>
      <c r="EF31" s="165"/>
      <c r="EG31" s="165"/>
      <c r="EH31" s="165"/>
      <c r="EI31" s="165"/>
      <c r="EJ31" s="165"/>
      <c r="EK31" s="165"/>
      <c r="EL31" s="165"/>
      <c r="EM31" s="165"/>
      <c r="EN31" s="165"/>
      <c r="EO31" s="165"/>
      <c r="EP31" s="165"/>
      <c r="EQ31" s="165"/>
      <c r="ER31" s="165"/>
      <c r="ES31" s="165"/>
    </row>
    <row r="32" spans="1:149" s="172" customFormat="1" x14ac:dyDescent="0.25">
      <c r="A32" s="167"/>
      <c r="B32" s="170"/>
      <c r="C32" s="170"/>
      <c r="D32" s="170"/>
      <c r="E32" s="173"/>
      <c r="F32" s="173"/>
      <c r="G32" s="173"/>
      <c r="H32" s="173"/>
      <c r="I32" s="173"/>
      <c r="J32" s="173"/>
      <c r="K32" s="168"/>
      <c r="L32" s="168"/>
      <c r="M32" s="168"/>
      <c r="N32" s="169"/>
      <c r="O32" s="169"/>
      <c r="P32" s="169"/>
      <c r="Q32" s="169"/>
      <c r="R32" s="169"/>
      <c r="S32" s="169"/>
      <c r="T32" s="169"/>
      <c r="U32" s="169"/>
      <c r="V32" s="169"/>
      <c r="W32" s="165"/>
      <c r="X32" s="165"/>
      <c r="Y32" s="165" t="s">
        <v>805</v>
      </c>
      <c r="Z32" s="165"/>
      <c r="AA32" s="165"/>
      <c r="AB32" s="165"/>
      <c r="AC32" s="165"/>
      <c r="AD32" s="165"/>
      <c r="AE32" s="165"/>
      <c r="AG32" s="165"/>
      <c r="AH32" s="165"/>
      <c r="AI32" s="165"/>
      <c r="AJ32" s="165"/>
      <c r="AK32" s="165"/>
      <c r="AL32" s="165"/>
      <c r="AM32" s="165"/>
      <c r="AN32" s="165"/>
      <c r="AO32" s="165"/>
      <c r="AP32" s="165"/>
      <c r="AQ32" s="165"/>
      <c r="AR32" s="165"/>
      <c r="AS32" s="165"/>
      <c r="AT32" s="165"/>
      <c r="AU32" s="165"/>
      <c r="AV32" s="165"/>
      <c r="AW32" s="165"/>
      <c r="AX32" s="165"/>
      <c r="AY32" s="165"/>
      <c r="AZ32" s="165"/>
      <c r="BA32" s="165"/>
      <c r="BB32" s="165"/>
      <c r="BC32" s="165"/>
      <c r="BD32" s="165"/>
      <c r="BE32" s="165"/>
      <c r="BF32" s="165"/>
      <c r="BG32" s="165"/>
      <c r="BH32" s="165"/>
      <c r="BI32" s="165"/>
      <c r="BJ32" s="165"/>
      <c r="BK32" s="165"/>
      <c r="BL32" s="165"/>
      <c r="BM32" s="165"/>
      <c r="BN32" s="165"/>
      <c r="BO32" s="165"/>
      <c r="BP32" s="165"/>
      <c r="BQ32" s="165"/>
      <c r="BR32" s="165"/>
      <c r="BS32" s="165"/>
      <c r="BT32" s="165"/>
      <c r="BU32" s="165"/>
      <c r="BV32" s="165"/>
      <c r="BW32" s="165"/>
      <c r="BX32" s="165"/>
      <c r="BY32" s="165"/>
      <c r="BZ32" s="165"/>
      <c r="CA32" s="165"/>
      <c r="CB32" s="165"/>
      <c r="CC32" s="165"/>
      <c r="CD32" s="165"/>
      <c r="CE32" s="165"/>
      <c r="CF32" s="165"/>
      <c r="CG32" s="165"/>
      <c r="CH32" s="165"/>
      <c r="CI32" s="165"/>
      <c r="CJ32" s="165"/>
      <c r="CK32" s="165"/>
      <c r="CL32" s="165"/>
      <c r="CM32" s="165"/>
      <c r="CN32" s="165"/>
      <c r="CO32" s="165"/>
      <c r="CP32" s="165"/>
      <c r="CQ32" s="165"/>
      <c r="CR32" s="165"/>
      <c r="CS32" s="165"/>
      <c r="CT32" s="165"/>
      <c r="CU32" s="165"/>
      <c r="CV32" s="165"/>
      <c r="CW32" s="165"/>
      <c r="CX32" s="165"/>
      <c r="CY32" s="165"/>
      <c r="CZ32" s="165"/>
      <c r="DA32" s="165"/>
      <c r="DB32" s="165"/>
      <c r="DC32" s="165"/>
      <c r="DD32" s="165"/>
      <c r="DE32" s="165"/>
      <c r="DF32" s="165"/>
      <c r="DG32" s="165"/>
      <c r="DH32" s="165"/>
      <c r="DI32" s="165"/>
      <c r="DJ32" s="165"/>
      <c r="DK32" s="165"/>
      <c r="DL32" s="165"/>
      <c r="DM32" s="165"/>
      <c r="DN32" s="165"/>
      <c r="DO32" s="165"/>
      <c r="DP32" s="165"/>
      <c r="DQ32" s="165"/>
      <c r="DR32" s="165"/>
      <c r="DS32" s="165"/>
      <c r="DT32" s="165"/>
      <c r="DU32" s="165"/>
      <c r="DV32" s="165"/>
      <c r="DW32" s="165"/>
      <c r="DX32" s="165"/>
      <c r="DY32" s="165"/>
      <c r="DZ32" s="165"/>
      <c r="EA32" s="165"/>
      <c r="EB32" s="165"/>
      <c r="EC32" s="165"/>
      <c r="ED32" s="165"/>
      <c r="EE32" s="165"/>
      <c r="EF32" s="165"/>
      <c r="EG32" s="165"/>
      <c r="EH32" s="165"/>
      <c r="EI32" s="165"/>
      <c r="EJ32" s="165"/>
      <c r="EK32" s="165"/>
      <c r="EL32" s="165"/>
      <c r="EM32" s="165"/>
      <c r="EN32" s="165"/>
      <c r="EO32" s="165"/>
      <c r="EP32" s="165"/>
      <c r="EQ32" s="165"/>
      <c r="ER32" s="165"/>
      <c r="ES32" s="165"/>
    </row>
    <row r="33" spans="1:149" x14ac:dyDescent="0.25">
      <c r="A33" s="171"/>
      <c r="B33" s="168"/>
      <c r="C33" s="168"/>
      <c r="D33" s="168"/>
      <c r="E33" s="168"/>
      <c r="F33" s="168"/>
      <c r="G33" s="168"/>
      <c r="H33" s="168"/>
      <c r="I33" s="168"/>
      <c r="J33" s="168"/>
      <c r="K33" s="168"/>
      <c r="L33" s="168"/>
      <c r="M33" s="168"/>
      <c r="N33" s="169"/>
      <c r="O33" s="169"/>
      <c r="P33" s="169"/>
      <c r="Q33" s="169"/>
      <c r="R33" s="169"/>
      <c r="S33" s="169"/>
      <c r="T33" s="169"/>
      <c r="U33" s="169"/>
      <c r="V33" s="169"/>
      <c r="Y33" s="165" t="s">
        <v>804</v>
      </c>
    </row>
    <row r="34" spans="1:149" s="172" customFormat="1" x14ac:dyDescent="0.25">
      <c r="A34" s="171"/>
      <c r="B34" s="168"/>
      <c r="C34" s="168"/>
      <c r="D34" s="168"/>
      <c r="E34" s="168"/>
      <c r="F34" s="168"/>
      <c r="G34" s="168"/>
      <c r="H34" s="168"/>
      <c r="I34" s="168"/>
      <c r="J34" s="168"/>
      <c r="K34" s="168"/>
      <c r="L34" s="168"/>
      <c r="M34" s="168"/>
      <c r="N34" s="169"/>
      <c r="O34" s="169"/>
      <c r="P34" s="169"/>
      <c r="Q34" s="169"/>
      <c r="R34" s="169"/>
      <c r="S34" s="169"/>
      <c r="T34" s="169"/>
      <c r="U34" s="169"/>
      <c r="V34" s="169"/>
      <c r="W34" s="165"/>
      <c r="X34" s="165"/>
      <c r="Y34" s="165" t="s">
        <v>803</v>
      </c>
      <c r="Z34" s="165"/>
      <c r="AA34" s="165"/>
      <c r="AB34" s="165"/>
      <c r="AC34" s="165"/>
      <c r="AD34" s="165"/>
      <c r="AE34" s="165"/>
      <c r="AG34" s="165"/>
      <c r="AH34" s="165"/>
      <c r="AI34" s="165"/>
      <c r="AJ34" s="165"/>
      <c r="AK34" s="165"/>
      <c r="AL34" s="165"/>
      <c r="AM34" s="165"/>
      <c r="AN34" s="165"/>
      <c r="AO34" s="165"/>
      <c r="AP34" s="165"/>
      <c r="AQ34" s="165"/>
      <c r="AR34" s="165"/>
      <c r="AS34" s="165"/>
      <c r="AT34" s="165"/>
      <c r="AU34" s="165"/>
      <c r="AV34" s="165"/>
      <c r="AW34" s="165"/>
      <c r="AX34" s="165"/>
      <c r="AY34" s="165"/>
      <c r="AZ34" s="165"/>
      <c r="BA34" s="165"/>
      <c r="BB34" s="165"/>
      <c r="BC34" s="165"/>
      <c r="BD34" s="165"/>
      <c r="BE34" s="165"/>
      <c r="BF34" s="165"/>
      <c r="BG34" s="165"/>
      <c r="BH34" s="165"/>
      <c r="BI34" s="165"/>
      <c r="BJ34" s="165"/>
      <c r="BK34" s="165"/>
      <c r="BL34" s="165"/>
      <c r="BM34" s="165"/>
      <c r="BN34" s="165"/>
      <c r="BO34" s="165"/>
      <c r="BP34" s="165"/>
      <c r="BQ34" s="165"/>
      <c r="BR34" s="165"/>
      <c r="BS34" s="165"/>
      <c r="BT34" s="165"/>
      <c r="BU34" s="165"/>
      <c r="BV34" s="165"/>
      <c r="BW34" s="165"/>
      <c r="BX34" s="165"/>
      <c r="BY34" s="165"/>
      <c r="BZ34" s="165"/>
      <c r="CA34" s="165"/>
      <c r="CB34" s="165"/>
      <c r="CC34" s="165"/>
      <c r="CD34" s="165"/>
      <c r="CE34" s="165"/>
      <c r="CF34" s="165"/>
      <c r="CG34" s="165"/>
      <c r="CH34" s="165"/>
      <c r="CI34" s="165"/>
      <c r="CJ34" s="165"/>
      <c r="CK34" s="165"/>
      <c r="CL34" s="165"/>
      <c r="CM34" s="165"/>
      <c r="CN34" s="165"/>
      <c r="CO34" s="165"/>
      <c r="CP34" s="165"/>
      <c r="CQ34" s="165"/>
      <c r="CR34" s="165"/>
      <c r="CS34" s="165"/>
      <c r="CT34" s="165"/>
      <c r="CU34" s="165"/>
      <c r="CV34" s="165"/>
      <c r="CW34" s="165"/>
      <c r="CX34" s="165"/>
      <c r="CY34" s="165"/>
      <c r="CZ34" s="165"/>
      <c r="DA34" s="165"/>
      <c r="DB34" s="165"/>
      <c r="DC34" s="165"/>
      <c r="DD34" s="165"/>
      <c r="DE34" s="165"/>
      <c r="DF34" s="165"/>
      <c r="DG34" s="165"/>
      <c r="DH34" s="165"/>
      <c r="DI34" s="165"/>
      <c r="DJ34" s="165"/>
      <c r="DK34" s="165"/>
      <c r="DL34" s="165"/>
      <c r="DM34" s="165"/>
      <c r="DN34" s="165"/>
      <c r="DO34" s="165"/>
      <c r="DP34" s="165"/>
      <c r="DQ34" s="165"/>
      <c r="DR34" s="165"/>
      <c r="DS34" s="165"/>
      <c r="DT34" s="165"/>
      <c r="DU34" s="165"/>
      <c r="DV34" s="165"/>
      <c r="DW34" s="165"/>
      <c r="DX34" s="165"/>
      <c r="DY34" s="165"/>
      <c r="DZ34" s="165"/>
      <c r="EA34" s="165"/>
      <c r="EB34" s="165"/>
      <c r="EC34" s="165"/>
      <c r="ED34" s="165"/>
      <c r="EE34" s="165"/>
      <c r="EF34" s="165"/>
      <c r="EG34" s="165"/>
      <c r="EH34" s="165"/>
      <c r="EI34" s="165"/>
      <c r="EJ34" s="165"/>
      <c r="EK34" s="165"/>
      <c r="EL34" s="165"/>
      <c r="EM34" s="165"/>
      <c r="EN34" s="165"/>
      <c r="EO34" s="165"/>
      <c r="EP34" s="165"/>
      <c r="EQ34" s="165"/>
      <c r="ER34" s="165"/>
      <c r="ES34" s="165"/>
    </row>
    <row r="35" spans="1:149" s="172" customFormat="1" x14ac:dyDescent="0.25">
      <c r="A35" s="167"/>
      <c r="B35" s="173"/>
      <c r="C35" s="173"/>
      <c r="D35" s="173"/>
      <c r="E35" s="173"/>
      <c r="F35" s="173"/>
      <c r="G35" s="173"/>
      <c r="H35" s="173"/>
      <c r="I35" s="173"/>
      <c r="J35" s="173"/>
      <c r="K35" s="173"/>
      <c r="L35" s="173"/>
      <c r="M35" s="173"/>
      <c r="N35" s="169"/>
      <c r="O35" s="169"/>
      <c r="P35" s="169"/>
      <c r="Q35" s="169"/>
      <c r="R35" s="169"/>
      <c r="S35" s="169"/>
      <c r="T35" s="169"/>
      <c r="U35" s="169"/>
      <c r="V35" s="169"/>
      <c r="W35" s="165"/>
      <c r="X35" s="165"/>
      <c r="Y35" s="165" t="s">
        <v>802</v>
      </c>
      <c r="Z35" s="165"/>
      <c r="AA35" s="165"/>
      <c r="AB35" s="165"/>
      <c r="AC35" s="165"/>
      <c r="AD35" s="165"/>
      <c r="AE35" s="165"/>
      <c r="AG35" s="165"/>
      <c r="AH35" s="165"/>
      <c r="AI35" s="165"/>
      <c r="AJ35" s="165"/>
      <c r="AK35" s="165"/>
      <c r="AL35" s="165"/>
      <c r="AM35" s="165"/>
      <c r="AN35" s="165"/>
      <c r="AO35" s="165"/>
      <c r="AP35" s="165"/>
      <c r="AQ35" s="165"/>
      <c r="AR35" s="165"/>
      <c r="AS35" s="165"/>
      <c r="AT35" s="165"/>
      <c r="AU35" s="165"/>
      <c r="AV35" s="165"/>
      <c r="AW35" s="165"/>
      <c r="AX35" s="165"/>
      <c r="AY35" s="165"/>
      <c r="AZ35" s="165"/>
      <c r="BA35" s="165"/>
      <c r="BB35" s="165"/>
      <c r="BC35" s="165"/>
      <c r="BD35" s="165"/>
      <c r="BE35" s="165"/>
      <c r="BF35" s="165"/>
      <c r="BG35" s="165"/>
      <c r="BH35" s="165"/>
      <c r="BI35" s="165"/>
      <c r="BJ35" s="165"/>
      <c r="BK35" s="165"/>
      <c r="BL35" s="165"/>
      <c r="BM35" s="165"/>
      <c r="BN35" s="165"/>
      <c r="BO35" s="165"/>
      <c r="BP35" s="165"/>
      <c r="BQ35" s="165"/>
      <c r="BR35" s="165"/>
      <c r="BS35" s="165"/>
      <c r="BT35" s="165"/>
      <c r="BU35" s="165"/>
      <c r="BV35" s="165"/>
      <c r="BW35" s="165"/>
      <c r="BX35" s="165"/>
      <c r="BY35" s="165"/>
      <c r="BZ35" s="165"/>
      <c r="CA35" s="165"/>
      <c r="CB35" s="165"/>
      <c r="CC35" s="165"/>
      <c r="CD35" s="165"/>
      <c r="CE35" s="165"/>
      <c r="CF35" s="165"/>
      <c r="CG35" s="165"/>
      <c r="CH35" s="165"/>
      <c r="CI35" s="165"/>
      <c r="CJ35" s="165"/>
      <c r="CK35" s="165"/>
      <c r="CL35" s="165"/>
      <c r="CM35" s="165"/>
      <c r="CN35" s="165"/>
      <c r="CO35" s="165"/>
      <c r="CP35" s="165"/>
      <c r="CQ35" s="165"/>
      <c r="CR35" s="165"/>
      <c r="CS35" s="165"/>
      <c r="CT35" s="165"/>
      <c r="CU35" s="165"/>
      <c r="CV35" s="165"/>
      <c r="CW35" s="165"/>
      <c r="CX35" s="165"/>
      <c r="CY35" s="165"/>
      <c r="CZ35" s="165"/>
      <c r="DA35" s="165"/>
      <c r="DB35" s="165"/>
      <c r="DC35" s="165"/>
      <c r="DD35" s="165"/>
      <c r="DE35" s="165"/>
      <c r="DF35" s="165"/>
      <c r="DG35" s="165"/>
      <c r="DH35" s="165"/>
      <c r="DI35" s="165"/>
      <c r="DJ35" s="165"/>
      <c r="DK35" s="165"/>
      <c r="DL35" s="165"/>
      <c r="DM35" s="165"/>
      <c r="DN35" s="165"/>
      <c r="DO35" s="165"/>
      <c r="DP35" s="165"/>
      <c r="DQ35" s="165"/>
      <c r="DR35" s="165"/>
      <c r="DS35" s="165"/>
      <c r="DT35" s="165"/>
      <c r="DU35" s="165"/>
      <c r="DV35" s="165"/>
      <c r="DW35" s="165"/>
      <c r="DX35" s="165"/>
      <c r="DY35" s="165"/>
      <c r="DZ35" s="165"/>
      <c r="EA35" s="165"/>
      <c r="EB35" s="165"/>
      <c r="EC35" s="165"/>
      <c r="ED35" s="165"/>
      <c r="EE35" s="165"/>
      <c r="EF35" s="165"/>
      <c r="EG35" s="165"/>
      <c r="EH35" s="165"/>
      <c r="EI35" s="165"/>
      <c r="EJ35" s="165"/>
      <c r="EK35" s="165"/>
      <c r="EL35" s="165"/>
      <c r="EM35" s="165"/>
      <c r="EN35" s="165"/>
      <c r="EO35" s="165"/>
      <c r="EP35" s="165"/>
      <c r="EQ35" s="165"/>
      <c r="ER35" s="165"/>
      <c r="ES35" s="165"/>
    </row>
    <row r="36" spans="1:149" s="172" customFormat="1" x14ac:dyDescent="0.25">
      <c r="A36" s="167"/>
      <c r="B36" s="173"/>
      <c r="C36" s="173"/>
      <c r="D36" s="173"/>
      <c r="E36" s="173"/>
      <c r="F36" s="173"/>
      <c r="G36" s="173"/>
      <c r="H36" s="173"/>
      <c r="I36" s="173"/>
      <c r="J36" s="173"/>
      <c r="K36" s="173"/>
      <c r="L36" s="173"/>
      <c r="M36" s="173"/>
      <c r="N36" s="169"/>
      <c r="O36" s="169"/>
      <c r="P36" s="169"/>
      <c r="Q36" s="169"/>
      <c r="R36" s="169"/>
      <c r="S36" s="169"/>
      <c r="T36" s="169"/>
      <c r="U36" s="169"/>
      <c r="V36" s="169"/>
      <c r="W36" s="165"/>
      <c r="X36" s="165"/>
      <c r="Y36" s="165" t="s">
        <v>801</v>
      </c>
      <c r="Z36" s="165"/>
      <c r="AA36" s="165"/>
      <c r="AB36" s="165"/>
      <c r="AC36" s="165"/>
      <c r="AD36" s="165"/>
      <c r="AE36" s="165"/>
      <c r="AG36" s="165"/>
      <c r="AH36" s="165"/>
      <c r="AI36" s="165"/>
      <c r="AJ36" s="165"/>
      <c r="AK36" s="165"/>
      <c r="AL36" s="165"/>
      <c r="AM36" s="165"/>
      <c r="AN36" s="165"/>
      <c r="AO36" s="165"/>
      <c r="AP36" s="165"/>
      <c r="AQ36" s="165"/>
      <c r="AR36" s="165"/>
      <c r="AS36" s="165"/>
      <c r="AT36" s="165"/>
      <c r="AU36" s="165"/>
      <c r="AV36" s="165"/>
      <c r="AW36" s="165"/>
      <c r="AX36" s="165"/>
      <c r="AY36" s="165"/>
      <c r="AZ36" s="165"/>
      <c r="BA36" s="165"/>
      <c r="BB36" s="165"/>
      <c r="BC36" s="165"/>
      <c r="BD36" s="165"/>
      <c r="BE36" s="165"/>
      <c r="BF36" s="165"/>
      <c r="BG36" s="165"/>
      <c r="BH36" s="165"/>
      <c r="BI36" s="165"/>
      <c r="BJ36" s="165"/>
      <c r="BK36" s="165"/>
      <c r="BL36" s="165"/>
      <c r="BM36" s="165"/>
      <c r="BN36" s="165"/>
      <c r="BO36" s="165"/>
      <c r="BP36" s="165"/>
      <c r="BQ36" s="165"/>
      <c r="BR36" s="165"/>
      <c r="BS36" s="165"/>
      <c r="BT36" s="165"/>
      <c r="BU36" s="165"/>
      <c r="BV36" s="165"/>
      <c r="BW36" s="165"/>
      <c r="BX36" s="165"/>
      <c r="BY36" s="165"/>
      <c r="BZ36" s="165"/>
      <c r="CA36" s="165"/>
      <c r="CB36" s="165"/>
      <c r="CC36" s="165"/>
      <c r="CD36" s="165"/>
      <c r="CE36" s="165"/>
      <c r="CF36" s="165"/>
      <c r="CG36" s="165"/>
      <c r="CH36" s="165"/>
      <c r="CI36" s="165"/>
      <c r="CJ36" s="165"/>
      <c r="CK36" s="165"/>
      <c r="CL36" s="165"/>
      <c r="CM36" s="165"/>
      <c r="CN36" s="165"/>
      <c r="CO36" s="165"/>
      <c r="CP36" s="165"/>
      <c r="CQ36" s="165"/>
      <c r="CR36" s="165"/>
      <c r="CS36" s="165"/>
      <c r="CT36" s="165"/>
      <c r="CU36" s="165"/>
      <c r="CV36" s="165"/>
      <c r="CW36" s="165"/>
      <c r="CX36" s="165"/>
      <c r="CY36" s="165"/>
      <c r="CZ36" s="165"/>
      <c r="DA36" s="165"/>
      <c r="DB36" s="165"/>
      <c r="DC36" s="165"/>
      <c r="DD36" s="165"/>
      <c r="DE36" s="165"/>
      <c r="DF36" s="165"/>
      <c r="DG36" s="165"/>
      <c r="DH36" s="165"/>
      <c r="DI36" s="165"/>
      <c r="DJ36" s="165"/>
      <c r="DK36" s="165"/>
      <c r="DL36" s="165"/>
      <c r="DM36" s="165"/>
      <c r="DN36" s="165"/>
      <c r="DO36" s="165"/>
      <c r="DP36" s="165"/>
      <c r="DQ36" s="165"/>
      <c r="DR36" s="165"/>
      <c r="DS36" s="165"/>
      <c r="DT36" s="165"/>
      <c r="DU36" s="165"/>
      <c r="DV36" s="165"/>
      <c r="DW36" s="165"/>
      <c r="DX36" s="165"/>
      <c r="DY36" s="165"/>
      <c r="DZ36" s="165"/>
      <c r="EA36" s="165"/>
      <c r="EB36" s="165"/>
      <c r="EC36" s="165"/>
      <c r="ED36" s="165"/>
      <c r="EE36" s="165"/>
      <c r="EF36" s="165"/>
      <c r="EG36" s="165"/>
      <c r="EH36" s="165"/>
      <c r="EI36" s="165"/>
      <c r="EJ36" s="165"/>
      <c r="EK36" s="165"/>
      <c r="EL36" s="165"/>
      <c r="EM36" s="165"/>
      <c r="EN36" s="165"/>
      <c r="EO36" s="165"/>
      <c r="EP36" s="165"/>
      <c r="EQ36" s="165"/>
      <c r="ER36" s="165"/>
      <c r="ES36" s="165"/>
    </row>
    <row r="37" spans="1:149" s="172" customFormat="1" x14ac:dyDescent="0.25">
      <c r="A37" s="171"/>
      <c r="B37" s="170"/>
      <c r="C37" s="170"/>
      <c r="D37" s="170"/>
      <c r="E37" s="170"/>
      <c r="F37" s="170"/>
      <c r="G37" s="170"/>
      <c r="H37" s="170"/>
      <c r="I37" s="170"/>
      <c r="J37" s="170"/>
      <c r="K37" s="168"/>
      <c r="L37" s="168"/>
      <c r="M37" s="168"/>
      <c r="N37" s="168"/>
      <c r="O37" s="168"/>
      <c r="P37" s="168"/>
      <c r="Q37" s="169"/>
      <c r="R37" s="169"/>
      <c r="S37" s="169"/>
      <c r="T37" s="169"/>
      <c r="U37" s="169"/>
      <c r="V37" s="169"/>
      <c r="W37" s="165"/>
      <c r="X37" s="165"/>
      <c r="Y37" s="165" t="s">
        <v>800</v>
      </c>
      <c r="Z37" s="165"/>
      <c r="AA37" s="165"/>
      <c r="AB37" s="165"/>
      <c r="AC37" s="165"/>
      <c r="AD37" s="165"/>
      <c r="AE37" s="165"/>
      <c r="AG37" s="165"/>
      <c r="AH37" s="165"/>
      <c r="AI37" s="165"/>
      <c r="AJ37" s="165"/>
      <c r="AK37" s="165"/>
      <c r="AL37" s="165"/>
      <c r="AM37" s="165"/>
      <c r="AN37" s="165"/>
      <c r="AO37" s="165"/>
      <c r="AP37" s="165"/>
      <c r="AQ37" s="165"/>
      <c r="AR37" s="165"/>
      <c r="AS37" s="165"/>
      <c r="AT37" s="165"/>
      <c r="AU37" s="165"/>
      <c r="AV37" s="165"/>
      <c r="AW37" s="165"/>
      <c r="AX37" s="165"/>
      <c r="AY37" s="165"/>
      <c r="AZ37" s="165"/>
      <c r="BA37" s="165"/>
      <c r="BB37" s="165"/>
      <c r="BC37" s="165"/>
      <c r="BD37" s="165"/>
      <c r="BE37" s="165"/>
      <c r="BF37" s="165"/>
      <c r="BG37" s="165"/>
      <c r="BH37" s="165"/>
      <c r="BI37" s="165"/>
      <c r="BJ37" s="165"/>
      <c r="BK37" s="165"/>
      <c r="BL37" s="165"/>
      <c r="BM37" s="165"/>
      <c r="BN37" s="165"/>
      <c r="BO37" s="165"/>
      <c r="BP37" s="165"/>
      <c r="BQ37" s="165"/>
      <c r="BR37" s="165"/>
      <c r="BS37" s="165"/>
      <c r="BT37" s="165"/>
      <c r="BU37" s="165"/>
      <c r="BV37" s="165"/>
      <c r="BW37" s="165"/>
      <c r="BX37" s="165"/>
      <c r="BY37" s="165"/>
      <c r="BZ37" s="165"/>
      <c r="CA37" s="165"/>
      <c r="CB37" s="165"/>
      <c r="CC37" s="165"/>
      <c r="CD37" s="165"/>
      <c r="CE37" s="165"/>
      <c r="CF37" s="165"/>
      <c r="CG37" s="165"/>
      <c r="CH37" s="165"/>
      <c r="CI37" s="165"/>
      <c r="CJ37" s="165"/>
      <c r="CK37" s="165"/>
      <c r="CL37" s="165"/>
      <c r="CM37" s="165"/>
      <c r="CN37" s="165"/>
      <c r="CO37" s="165"/>
      <c r="CP37" s="165"/>
      <c r="CQ37" s="165"/>
      <c r="CR37" s="165"/>
      <c r="CS37" s="165"/>
      <c r="CT37" s="165"/>
      <c r="CU37" s="165"/>
      <c r="CV37" s="165"/>
      <c r="CW37" s="165"/>
      <c r="CX37" s="165"/>
      <c r="CY37" s="165"/>
      <c r="CZ37" s="165"/>
      <c r="DA37" s="165"/>
      <c r="DB37" s="165"/>
      <c r="DC37" s="165"/>
      <c r="DD37" s="165"/>
      <c r="DE37" s="165"/>
      <c r="DF37" s="165"/>
      <c r="DG37" s="165"/>
      <c r="DH37" s="165"/>
      <c r="DI37" s="165"/>
      <c r="DJ37" s="165"/>
      <c r="DK37" s="165"/>
      <c r="DL37" s="165"/>
      <c r="DM37" s="165"/>
      <c r="DN37" s="165"/>
      <c r="DO37" s="165"/>
      <c r="DP37" s="165"/>
      <c r="DQ37" s="165"/>
      <c r="DR37" s="165"/>
      <c r="DS37" s="165"/>
      <c r="DT37" s="165"/>
      <c r="DU37" s="165"/>
      <c r="DV37" s="165"/>
      <c r="DW37" s="165"/>
      <c r="DX37" s="165"/>
      <c r="DY37" s="165"/>
      <c r="DZ37" s="165"/>
      <c r="EA37" s="165"/>
      <c r="EB37" s="165"/>
      <c r="EC37" s="165"/>
      <c r="ED37" s="165"/>
      <c r="EE37" s="165"/>
      <c r="EF37" s="165"/>
      <c r="EG37" s="165"/>
      <c r="EH37" s="165"/>
      <c r="EI37" s="165"/>
      <c r="EJ37" s="165"/>
      <c r="EK37" s="165"/>
      <c r="EL37" s="165"/>
      <c r="EM37" s="165"/>
      <c r="EN37" s="165"/>
      <c r="EO37" s="165"/>
      <c r="EP37" s="165"/>
      <c r="EQ37" s="165"/>
      <c r="ER37" s="165"/>
      <c r="ES37" s="165"/>
    </row>
    <row r="38" spans="1:149" x14ac:dyDescent="0.25">
      <c r="A38" s="171"/>
      <c r="B38" s="170"/>
      <c r="C38" s="170"/>
      <c r="D38" s="170"/>
      <c r="E38" s="170"/>
      <c r="F38" s="170"/>
      <c r="G38" s="170"/>
      <c r="H38" s="170"/>
      <c r="I38" s="170"/>
      <c r="J38" s="170"/>
      <c r="K38" s="168"/>
      <c r="L38" s="168"/>
      <c r="M38" s="168"/>
      <c r="N38" s="169"/>
      <c r="O38" s="169"/>
      <c r="P38" s="169"/>
      <c r="Q38" s="168"/>
      <c r="R38" s="168"/>
      <c r="S38" s="168"/>
      <c r="T38" s="168"/>
      <c r="U38" s="168"/>
      <c r="V38" s="168"/>
      <c r="Y38" s="165" t="s">
        <v>799</v>
      </c>
    </row>
    <row r="39" spans="1:149" s="172" customFormat="1" x14ac:dyDescent="0.25">
      <c r="A39" s="171"/>
      <c r="B39" s="170"/>
      <c r="C39" s="170"/>
      <c r="D39" s="170"/>
      <c r="E39" s="170"/>
      <c r="F39" s="170"/>
      <c r="G39" s="170"/>
      <c r="H39" s="170"/>
      <c r="I39" s="170"/>
      <c r="J39" s="170"/>
      <c r="K39" s="168"/>
      <c r="L39" s="168"/>
      <c r="M39" s="168"/>
      <c r="N39" s="169"/>
      <c r="O39" s="169"/>
      <c r="P39" s="169"/>
      <c r="Q39" s="168"/>
      <c r="R39" s="168"/>
      <c r="S39" s="168"/>
      <c r="T39" s="168"/>
      <c r="U39" s="168"/>
      <c r="V39" s="168"/>
      <c r="W39" s="165"/>
      <c r="X39" s="165"/>
      <c r="Y39" s="165" t="s">
        <v>763</v>
      </c>
      <c r="Z39" s="165"/>
      <c r="AA39" s="165"/>
      <c r="AB39" s="165"/>
      <c r="AC39" s="165"/>
      <c r="AD39" s="165"/>
      <c r="AE39" s="165"/>
      <c r="AG39" s="165"/>
      <c r="AH39" s="165"/>
      <c r="AI39" s="165"/>
      <c r="AJ39" s="165"/>
      <c r="AK39" s="165"/>
      <c r="AL39" s="165"/>
      <c r="AM39" s="165"/>
      <c r="AN39" s="165"/>
      <c r="AO39" s="165"/>
      <c r="AP39" s="165"/>
      <c r="AQ39" s="165"/>
      <c r="AR39" s="165"/>
      <c r="AS39" s="165"/>
      <c r="AT39" s="165"/>
      <c r="AU39" s="165"/>
      <c r="AV39" s="165"/>
      <c r="AW39" s="165"/>
      <c r="AX39" s="165"/>
      <c r="AY39" s="165"/>
      <c r="AZ39" s="165"/>
      <c r="BA39" s="165"/>
      <c r="BB39" s="165"/>
      <c r="BC39" s="165"/>
      <c r="BD39" s="165"/>
      <c r="BE39" s="165"/>
      <c r="BF39" s="165"/>
      <c r="BG39" s="165"/>
      <c r="BH39" s="165"/>
      <c r="BI39" s="165"/>
      <c r="BJ39" s="165"/>
      <c r="BK39" s="165"/>
      <c r="BL39" s="165"/>
      <c r="BM39" s="165"/>
      <c r="BN39" s="165"/>
      <c r="BO39" s="165"/>
      <c r="BP39" s="165"/>
      <c r="BQ39" s="165"/>
      <c r="BR39" s="165"/>
      <c r="BS39" s="165"/>
      <c r="BT39" s="165"/>
      <c r="BU39" s="165"/>
      <c r="BV39" s="165"/>
      <c r="BW39" s="165"/>
      <c r="BX39" s="165"/>
      <c r="BY39" s="165"/>
      <c r="BZ39" s="165"/>
      <c r="CA39" s="165"/>
      <c r="CB39" s="165"/>
      <c r="CC39" s="165"/>
      <c r="CD39" s="165"/>
      <c r="CE39" s="165"/>
      <c r="CF39" s="165"/>
      <c r="CG39" s="165"/>
      <c r="CH39" s="165"/>
      <c r="CI39" s="165"/>
      <c r="CJ39" s="165"/>
      <c r="CK39" s="165"/>
      <c r="CL39" s="165"/>
      <c r="CM39" s="165"/>
      <c r="CN39" s="165"/>
      <c r="CO39" s="165"/>
      <c r="CP39" s="165"/>
      <c r="CQ39" s="165"/>
      <c r="CR39" s="165"/>
      <c r="CS39" s="165"/>
      <c r="CT39" s="165"/>
      <c r="CU39" s="165"/>
      <c r="CV39" s="165"/>
      <c r="CW39" s="165"/>
      <c r="CX39" s="165"/>
      <c r="CY39" s="165"/>
      <c r="CZ39" s="165"/>
      <c r="DA39" s="165"/>
      <c r="DB39" s="165"/>
      <c r="DC39" s="165"/>
      <c r="DD39" s="165"/>
      <c r="DE39" s="165"/>
      <c r="DF39" s="165"/>
      <c r="DG39" s="165"/>
      <c r="DH39" s="165"/>
      <c r="DI39" s="165"/>
      <c r="DJ39" s="165"/>
      <c r="DK39" s="165"/>
      <c r="DL39" s="165"/>
      <c r="DM39" s="165"/>
      <c r="DN39" s="165"/>
      <c r="DO39" s="165"/>
      <c r="DP39" s="165"/>
      <c r="DQ39" s="165"/>
      <c r="DR39" s="165"/>
      <c r="DS39" s="165"/>
      <c r="DT39" s="165"/>
      <c r="DU39" s="165"/>
      <c r="DV39" s="165"/>
      <c r="DW39" s="165"/>
      <c r="DX39" s="165"/>
      <c r="DY39" s="165"/>
      <c r="DZ39" s="165"/>
      <c r="EA39" s="165"/>
      <c r="EB39" s="165"/>
      <c r="EC39" s="165"/>
      <c r="ED39" s="165"/>
      <c r="EE39" s="165"/>
      <c r="EF39" s="165"/>
      <c r="EG39" s="165"/>
      <c r="EH39" s="165"/>
      <c r="EI39" s="165"/>
      <c r="EJ39" s="165"/>
      <c r="EK39" s="165"/>
      <c r="EL39" s="165"/>
      <c r="EM39" s="165"/>
      <c r="EN39" s="165"/>
      <c r="EO39" s="165"/>
      <c r="EP39" s="165"/>
      <c r="EQ39" s="165"/>
      <c r="ER39" s="165"/>
      <c r="ES39" s="165"/>
    </row>
    <row r="40" spans="1:149" x14ac:dyDescent="0.25">
      <c r="A40" s="171"/>
      <c r="B40" s="170"/>
      <c r="C40" s="170"/>
      <c r="D40" s="170"/>
      <c r="E40" s="170"/>
      <c r="F40" s="170"/>
      <c r="G40" s="170"/>
      <c r="H40" s="170"/>
      <c r="I40" s="170"/>
      <c r="J40" s="170"/>
      <c r="K40" s="168"/>
      <c r="L40" s="168"/>
      <c r="M40" s="168"/>
      <c r="N40" s="169"/>
      <c r="O40" s="169"/>
      <c r="P40" s="169"/>
      <c r="Q40" s="168"/>
      <c r="R40" s="168"/>
      <c r="S40" s="168"/>
      <c r="T40" s="168"/>
      <c r="U40" s="168"/>
      <c r="V40" s="168"/>
      <c r="Y40" s="165" t="s">
        <v>763</v>
      </c>
    </row>
    <row r="41" spans="1:149" x14ac:dyDescent="0.25">
      <c r="A41" s="167"/>
      <c r="B41" s="171"/>
      <c r="C41" s="171"/>
      <c r="D41" s="171"/>
      <c r="E41" s="171"/>
      <c r="F41" s="171"/>
      <c r="G41" s="171"/>
      <c r="H41" s="171"/>
      <c r="I41" s="171"/>
      <c r="J41" s="171"/>
      <c r="K41" s="171"/>
      <c r="L41" s="171"/>
      <c r="M41" s="171"/>
      <c r="N41" s="171"/>
      <c r="O41" s="171"/>
      <c r="P41" s="171"/>
      <c r="Q41" s="171"/>
      <c r="R41" s="171"/>
      <c r="S41" s="171"/>
      <c r="T41" s="171"/>
      <c r="U41" s="171"/>
      <c r="V41" s="171"/>
      <c r="Y41" s="165" t="s">
        <v>742</v>
      </c>
    </row>
    <row r="42" spans="1:149" x14ac:dyDescent="0.25">
      <c r="A42" s="171"/>
      <c r="B42" s="171"/>
      <c r="C42" s="171"/>
      <c r="D42" s="171"/>
      <c r="E42" s="171"/>
      <c r="F42" s="171"/>
      <c r="G42" s="171"/>
      <c r="H42" s="171"/>
      <c r="I42" s="171"/>
      <c r="J42" s="171"/>
      <c r="K42" s="171"/>
      <c r="L42" s="171"/>
      <c r="M42" s="171"/>
      <c r="N42" s="171"/>
      <c r="O42" s="171"/>
      <c r="P42" s="171"/>
      <c r="Q42" s="171"/>
      <c r="R42" s="171"/>
      <c r="S42" s="171"/>
      <c r="T42" s="171"/>
      <c r="U42" s="171"/>
      <c r="V42" s="171"/>
      <c r="Y42" s="165" t="s">
        <v>798</v>
      </c>
    </row>
    <row r="43" spans="1:149" ht="26.25" x14ac:dyDescent="0.4">
      <c r="A43" s="178"/>
      <c r="B43" s="171"/>
      <c r="C43" s="171"/>
      <c r="D43" s="171"/>
      <c r="E43" s="171"/>
      <c r="F43" s="171"/>
      <c r="G43" s="171"/>
      <c r="H43" s="171"/>
      <c r="I43" s="171"/>
      <c r="J43" s="171"/>
      <c r="K43" s="171"/>
      <c r="L43" s="171"/>
      <c r="M43" s="171"/>
      <c r="N43" s="171"/>
      <c r="O43" s="171"/>
      <c r="P43" s="171"/>
      <c r="Q43" s="171"/>
      <c r="R43" s="171"/>
      <c r="S43" s="171"/>
      <c r="T43" s="171"/>
      <c r="U43" s="171"/>
      <c r="V43" s="171"/>
      <c r="Y43" s="165" t="s">
        <v>797</v>
      </c>
    </row>
    <row r="44" spans="1:149" ht="18.75" customHeight="1" x14ac:dyDescent="0.3">
      <c r="A44" s="175"/>
      <c r="B44" s="177"/>
      <c r="C44" s="177"/>
      <c r="D44" s="177"/>
      <c r="E44" s="177"/>
      <c r="F44" s="177"/>
      <c r="G44" s="177"/>
      <c r="H44" s="177"/>
      <c r="I44" s="177"/>
      <c r="J44" s="177"/>
      <c r="K44" s="177"/>
      <c r="L44" s="177"/>
      <c r="M44" s="177"/>
      <c r="N44" s="177"/>
      <c r="O44" s="177"/>
      <c r="P44" s="177"/>
      <c r="Q44" s="177"/>
      <c r="R44" s="177"/>
      <c r="S44" s="177"/>
      <c r="T44" s="177"/>
      <c r="U44" s="177"/>
      <c r="V44" s="177"/>
      <c r="Y44" s="165" t="s">
        <v>796</v>
      </c>
    </row>
    <row r="45" spans="1:149" ht="17.45" customHeight="1" x14ac:dyDescent="0.25">
      <c r="A45" s="175"/>
      <c r="B45" s="176"/>
      <c r="C45" s="176"/>
      <c r="D45" s="176"/>
      <c r="E45" s="176"/>
      <c r="F45" s="176"/>
      <c r="G45" s="176"/>
      <c r="H45" s="176"/>
      <c r="I45" s="176"/>
      <c r="J45" s="176"/>
      <c r="K45" s="176"/>
      <c r="L45" s="176"/>
      <c r="M45" s="176"/>
      <c r="N45" s="176"/>
      <c r="O45" s="176"/>
      <c r="P45" s="176"/>
      <c r="Q45" s="176"/>
      <c r="R45" s="176"/>
      <c r="S45" s="176"/>
      <c r="T45" s="176"/>
      <c r="U45" s="176"/>
      <c r="V45" s="176"/>
      <c r="Y45" s="165" t="s">
        <v>795</v>
      </c>
    </row>
    <row r="46" spans="1:149" ht="15" customHeight="1" x14ac:dyDescent="0.25">
      <c r="A46" s="175"/>
      <c r="B46" s="174"/>
      <c r="C46" s="174"/>
      <c r="D46" s="174"/>
      <c r="E46" s="174"/>
      <c r="F46" s="174"/>
      <c r="G46" s="174"/>
      <c r="H46" s="174"/>
      <c r="I46" s="174"/>
      <c r="J46" s="174"/>
      <c r="K46" s="174"/>
      <c r="L46" s="174"/>
      <c r="M46" s="174"/>
      <c r="N46" s="174"/>
      <c r="O46" s="174"/>
      <c r="P46" s="174"/>
      <c r="Q46" s="174"/>
      <c r="R46" s="174"/>
      <c r="S46" s="174"/>
      <c r="T46" s="174"/>
      <c r="U46" s="174"/>
      <c r="V46" s="174"/>
      <c r="Y46" s="179" t="s">
        <v>794</v>
      </c>
    </row>
    <row r="47" spans="1:149" s="172" customFormat="1" x14ac:dyDescent="0.25">
      <c r="A47" s="171"/>
      <c r="B47" s="168"/>
      <c r="C47" s="168"/>
      <c r="D47" s="168"/>
      <c r="E47" s="168"/>
      <c r="F47" s="168"/>
      <c r="G47" s="168"/>
      <c r="H47" s="168"/>
      <c r="I47" s="168"/>
      <c r="J47" s="168"/>
      <c r="K47" s="168"/>
      <c r="L47" s="168"/>
      <c r="M47" s="168"/>
      <c r="N47" s="169"/>
      <c r="O47" s="169"/>
      <c r="P47" s="169"/>
      <c r="Q47" s="169"/>
      <c r="R47" s="169"/>
      <c r="S47" s="169"/>
      <c r="T47" s="169"/>
      <c r="U47" s="169"/>
      <c r="V47" s="169"/>
      <c r="W47" s="165"/>
      <c r="X47" s="165"/>
      <c r="Y47" s="179" t="s">
        <v>793</v>
      </c>
      <c r="Z47" s="165"/>
      <c r="AA47" s="165"/>
      <c r="AB47" s="165"/>
      <c r="AC47" s="165"/>
      <c r="AD47" s="165"/>
      <c r="AE47" s="165"/>
      <c r="AG47" s="165"/>
      <c r="AH47" s="165"/>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5"/>
      <c r="BE47" s="165"/>
      <c r="BF47" s="165"/>
      <c r="BG47" s="165"/>
      <c r="BH47" s="165"/>
      <c r="BI47" s="165"/>
      <c r="BJ47" s="165"/>
      <c r="BK47" s="165"/>
      <c r="BL47" s="165"/>
      <c r="BM47" s="165"/>
      <c r="BN47" s="165"/>
      <c r="BO47" s="165"/>
      <c r="BP47" s="165"/>
      <c r="BQ47" s="165"/>
      <c r="BR47" s="165"/>
      <c r="BS47" s="165"/>
      <c r="BT47" s="165"/>
      <c r="BU47" s="165"/>
      <c r="BV47" s="165"/>
      <c r="BW47" s="165"/>
      <c r="BX47" s="165"/>
      <c r="BY47" s="165"/>
      <c r="BZ47" s="165"/>
      <c r="CA47" s="165"/>
      <c r="CB47" s="165"/>
      <c r="CC47" s="165"/>
      <c r="CD47" s="165"/>
      <c r="CE47" s="165"/>
      <c r="CF47" s="165"/>
      <c r="CG47" s="165"/>
      <c r="CH47" s="165"/>
      <c r="CI47" s="165"/>
      <c r="CJ47" s="165"/>
      <c r="CK47" s="165"/>
      <c r="CL47" s="165"/>
      <c r="CM47" s="165"/>
      <c r="CN47" s="165"/>
      <c r="CO47" s="165"/>
      <c r="CP47" s="165"/>
      <c r="CQ47" s="165"/>
      <c r="CR47" s="165"/>
      <c r="CS47" s="165"/>
      <c r="CT47" s="165"/>
      <c r="CU47" s="165"/>
      <c r="CV47" s="165"/>
      <c r="CW47" s="165"/>
      <c r="CX47" s="165"/>
      <c r="CY47" s="165"/>
      <c r="CZ47" s="165"/>
      <c r="DA47" s="165"/>
      <c r="DB47" s="165"/>
      <c r="DC47" s="165"/>
      <c r="DD47" s="165"/>
      <c r="DE47" s="165"/>
      <c r="DF47" s="165"/>
      <c r="DG47" s="165"/>
      <c r="DH47" s="165"/>
      <c r="DI47" s="165"/>
      <c r="DJ47" s="165"/>
      <c r="DK47" s="165"/>
      <c r="DL47" s="165"/>
      <c r="DM47" s="165"/>
      <c r="DN47" s="165"/>
      <c r="DO47" s="165"/>
      <c r="DP47" s="165"/>
      <c r="DQ47" s="165"/>
      <c r="DR47" s="165"/>
      <c r="DS47" s="165"/>
      <c r="DT47" s="165"/>
      <c r="DU47" s="165"/>
      <c r="DV47" s="165"/>
      <c r="DW47" s="165"/>
      <c r="DX47" s="165"/>
      <c r="DY47" s="165"/>
      <c r="DZ47" s="165"/>
      <c r="EA47" s="165"/>
      <c r="EB47" s="165"/>
      <c r="EC47" s="165"/>
      <c r="ED47" s="165"/>
      <c r="EE47" s="165"/>
      <c r="EF47" s="165"/>
      <c r="EG47" s="165"/>
      <c r="EH47" s="165"/>
      <c r="EI47" s="165"/>
      <c r="EJ47" s="165"/>
      <c r="EK47" s="165"/>
      <c r="EL47" s="165"/>
      <c r="EM47" s="165"/>
      <c r="EN47" s="165"/>
      <c r="EO47" s="165"/>
      <c r="EP47" s="165"/>
      <c r="EQ47" s="165"/>
      <c r="ER47" s="165"/>
      <c r="ES47" s="165"/>
    </row>
    <row r="48" spans="1:149" x14ac:dyDescent="0.25">
      <c r="A48" s="171"/>
      <c r="B48" s="168"/>
      <c r="C48" s="168"/>
      <c r="D48" s="168"/>
      <c r="E48" s="168"/>
      <c r="F48" s="168"/>
      <c r="G48" s="168"/>
      <c r="H48" s="168"/>
      <c r="I48" s="168"/>
      <c r="J48" s="168"/>
      <c r="K48" s="168"/>
      <c r="L48" s="168"/>
      <c r="M48" s="168"/>
      <c r="N48" s="169"/>
      <c r="O48" s="169"/>
      <c r="P48" s="169"/>
      <c r="Q48" s="169"/>
      <c r="R48" s="169"/>
      <c r="S48" s="169"/>
      <c r="T48" s="169"/>
      <c r="U48" s="169"/>
      <c r="V48" s="169"/>
      <c r="Y48" s="165" t="s">
        <v>792</v>
      </c>
    </row>
    <row r="49" spans="1:149" x14ac:dyDescent="0.25">
      <c r="A49" s="171"/>
      <c r="B49" s="168"/>
      <c r="C49" s="168"/>
      <c r="D49" s="168"/>
      <c r="E49" s="168"/>
      <c r="F49" s="168"/>
      <c r="G49" s="168"/>
      <c r="H49" s="168"/>
      <c r="I49" s="168"/>
      <c r="J49" s="168"/>
      <c r="K49" s="168"/>
      <c r="L49" s="168"/>
      <c r="M49" s="168"/>
      <c r="N49" s="169"/>
      <c r="O49" s="169"/>
      <c r="P49" s="169"/>
      <c r="Q49" s="169"/>
      <c r="R49" s="169"/>
      <c r="S49" s="169"/>
      <c r="T49" s="169"/>
      <c r="U49" s="169"/>
      <c r="V49" s="169"/>
      <c r="Y49" s="165" t="s">
        <v>791</v>
      </c>
    </row>
    <row r="50" spans="1:149" s="172" customFormat="1" x14ac:dyDescent="0.25">
      <c r="A50" s="171"/>
      <c r="B50" s="168"/>
      <c r="C50" s="168"/>
      <c r="D50" s="168"/>
      <c r="E50" s="168"/>
      <c r="F50" s="168"/>
      <c r="G50" s="168"/>
      <c r="H50" s="168"/>
      <c r="I50" s="168"/>
      <c r="J50" s="168"/>
      <c r="K50" s="168"/>
      <c r="L50" s="168"/>
      <c r="M50" s="168"/>
      <c r="N50" s="169"/>
      <c r="O50" s="169"/>
      <c r="P50" s="169"/>
      <c r="Q50" s="169"/>
      <c r="R50" s="169"/>
      <c r="S50" s="169"/>
      <c r="T50" s="169"/>
      <c r="U50" s="169"/>
      <c r="V50" s="169"/>
      <c r="W50" s="165"/>
      <c r="X50" s="165"/>
      <c r="Y50" s="165" t="s">
        <v>790</v>
      </c>
      <c r="Z50" s="165"/>
      <c r="AA50" s="165"/>
      <c r="AB50" s="165"/>
      <c r="AC50" s="165"/>
      <c r="AD50" s="165"/>
      <c r="AE50" s="165"/>
      <c r="AG50" s="165"/>
      <c r="AH50" s="165"/>
      <c r="AI50" s="165"/>
      <c r="AJ50" s="165"/>
      <c r="AK50" s="165"/>
      <c r="AL50" s="165"/>
      <c r="AM50" s="165"/>
      <c r="AN50" s="165"/>
      <c r="AO50" s="165"/>
      <c r="AP50" s="165"/>
      <c r="AQ50" s="165"/>
      <c r="AR50" s="165"/>
      <c r="AS50" s="165"/>
      <c r="AT50" s="165"/>
      <c r="AU50" s="165"/>
      <c r="AV50" s="165"/>
      <c r="AW50" s="165"/>
      <c r="AX50" s="165"/>
      <c r="AY50" s="165"/>
      <c r="AZ50" s="165"/>
      <c r="BA50" s="165"/>
      <c r="BB50" s="165"/>
      <c r="BC50" s="165"/>
      <c r="BD50" s="165"/>
      <c r="BE50" s="165"/>
      <c r="BF50" s="165"/>
      <c r="BG50" s="165"/>
      <c r="BH50" s="165"/>
      <c r="BI50" s="165"/>
      <c r="BJ50" s="165"/>
      <c r="BK50" s="165"/>
      <c r="BL50" s="165"/>
      <c r="BM50" s="165"/>
      <c r="BN50" s="165"/>
      <c r="BO50" s="165"/>
      <c r="BP50" s="165"/>
      <c r="BQ50" s="165"/>
      <c r="BR50" s="165"/>
      <c r="BS50" s="165"/>
      <c r="BT50" s="165"/>
      <c r="BU50" s="165"/>
      <c r="BV50" s="165"/>
      <c r="BW50" s="165"/>
      <c r="BX50" s="165"/>
      <c r="BY50" s="165"/>
      <c r="BZ50" s="165"/>
      <c r="CA50" s="165"/>
      <c r="CB50" s="165"/>
      <c r="CC50" s="165"/>
      <c r="CD50" s="165"/>
      <c r="CE50" s="165"/>
      <c r="CF50" s="165"/>
      <c r="CG50" s="165"/>
      <c r="CH50" s="165"/>
      <c r="CI50" s="165"/>
      <c r="CJ50" s="165"/>
      <c r="CK50" s="165"/>
      <c r="CL50" s="165"/>
      <c r="CM50" s="165"/>
      <c r="CN50" s="165"/>
      <c r="CO50" s="165"/>
      <c r="CP50" s="165"/>
      <c r="CQ50" s="165"/>
      <c r="CR50" s="165"/>
      <c r="CS50" s="165"/>
      <c r="CT50" s="165"/>
      <c r="CU50" s="165"/>
      <c r="CV50" s="165"/>
      <c r="CW50" s="165"/>
      <c r="CX50" s="165"/>
      <c r="CY50" s="165"/>
      <c r="CZ50" s="165"/>
      <c r="DA50" s="165"/>
      <c r="DB50" s="165"/>
      <c r="DC50" s="165"/>
      <c r="DD50" s="165"/>
      <c r="DE50" s="165"/>
      <c r="DF50" s="165"/>
      <c r="DG50" s="165"/>
      <c r="DH50" s="165"/>
      <c r="DI50" s="165"/>
      <c r="DJ50" s="165"/>
      <c r="DK50" s="165"/>
      <c r="DL50" s="165"/>
      <c r="DM50" s="165"/>
      <c r="DN50" s="165"/>
      <c r="DO50" s="165"/>
      <c r="DP50" s="165"/>
      <c r="DQ50" s="165"/>
      <c r="DR50" s="165"/>
      <c r="DS50" s="165"/>
      <c r="DT50" s="165"/>
      <c r="DU50" s="165"/>
      <c r="DV50" s="165"/>
      <c r="DW50" s="165"/>
      <c r="DX50" s="165"/>
      <c r="DY50" s="165"/>
      <c r="DZ50" s="165"/>
      <c r="EA50" s="165"/>
      <c r="EB50" s="165"/>
      <c r="EC50" s="165"/>
      <c r="ED50" s="165"/>
      <c r="EE50" s="165"/>
      <c r="EF50" s="165"/>
      <c r="EG50" s="165"/>
      <c r="EH50" s="165"/>
      <c r="EI50" s="165"/>
      <c r="EJ50" s="165"/>
      <c r="EK50" s="165"/>
      <c r="EL50" s="165"/>
      <c r="EM50" s="165"/>
      <c r="EN50" s="165"/>
      <c r="EO50" s="165"/>
      <c r="EP50" s="165"/>
      <c r="EQ50" s="165"/>
      <c r="ER50" s="165"/>
      <c r="ES50" s="165"/>
    </row>
    <row r="51" spans="1:149" s="172" customFormat="1" x14ac:dyDescent="0.25">
      <c r="A51" s="167"/>
      <c r="B51" s="170"/>
      <c r="C51" s="170"/>
      <c r="D51" s="170"/>
      <c r="E51" s="170"/>
      <c r="F51" s="170"/>
      <c r="G51" s="170"/>
      <c r="H51" s="170"/>
      <c r="I51" s="170"/>
      <c r="J51" s="170"/>
      <c r="K51" s="168"/>
      <c r="L51" s="168"/>
      <c r="M51" s="168"/>
      <c r="N51" s="169"/>
      <c r="O51" s="169"/>
      <c r="P51" s="169"/>
      <c r="Q51" s="169"/>
      <c r="R51" s="169"/>
      <c r="S51" s="169"/>
      <c r="T51" s="169"/>
      <c r="U51" s="169"/>
      <c r="V51" s="169"/>
      <c r="W51" s="165"/>
      <c r="X51" s="165"/>
      <c r="Y51" s="165" t="s">
        <v>789</v>
      </c>
      <c r="Z51" s="165"/>
      <c r="AA51" s="165"/>
      <c r="AB51" s="165"/>
      <c r="AC51" s="165"/>
      <c r="AD51" s="165"/>
      <c r="AE51" s="165"/>
      <c r="AG51" s="165"/>
      <c r="AH51" s="165"/>
      <c r="AI51" s="165"/>
      <c r="AJ51" s="165"/>
      <c r="AK51" s="165"/>
      <c r="AL51" s="165"/>
      <c r="AM51" s="165"/>
      <c r="AN51" s="165"/>
      <c r="AO51" s="165"/>
      <c r="AP51" s="165"/>
      <c r="AQ51" s="165"/>
      <c r="AR51" s="165"/>
      <c r="AS51" s="165"/>
      <c r="AT51" s="165"/>
      <c r="AU51" s="165"/>
      <c r="AV51" s="165"/>
      <c r="AW51" s="165"/>
      <c r="AX51" s="165"/>
      <c r="AY51" s="165"/>
      <c r="AZ51" s="165"/>
      <c r="BA51" s="165"/>
      <c r="BB51" s="165"/>
      <c r="BC51" s="165"/>
      <c r="BD51" s="165"/>
      <c r="BE51" s="165"/>
      <c r="BF51" s="165"/>
      <c r="BG51" s="165"/>
      <c r="BH51" s="165"/>
      <c r="BI51" s="165"/>
      <c r="BJ51" s="165"/>
      <c r="BK51" s="165"/>
      <c r="BL51" s="165"/>
      <c r="BM51" s="165"/>
      <c r="BN51" s="165"/>
      <c r="BO51" s="165"/>
      <c r="BP51" s="165"/>
      <c r="BQ51" s="165"/>
      <c r="BR51" s="165"/>
      <c r="BS51" s="165"/>
      <c r="BT51" s="165"/>
      <c r="BU51" s="165"/>
      <c r="BV51" s="165"/>
      <c r="BW51" s="165"/>
      <c r="BX51" s="165"/>
      <c r="BY51" s="165"/>
      <c r="BZ51" s="165"/>
      <c r="CA51" s="165"/>
      <c r="CB51" s="165"/>
      <c r="CC51" s="165"/>
      <c r="CD51" s="165"/>
      <c r="CE51" s="165"/>
      <c r="CF51" s="165"/>
      <c r="CG51" s="165"/>
      <c r="CH51" s="165"/>
      <c r="CI51" s="165"/>
      <c r="CJ51" s="165"/>
      <c r="CK51" s="165"/>
      <c r="CL51" s="165"/>
      <c r="CM51" s="165"/>
      <c r="CN51" s="165"/>
      <c r="CO51" s="165"/>
      <c r="CP51" s="165"/>
      <c r="CQ51" s="165"/>
      <c r="CR51" s="165"/>
      <c r="CS51" s="165"/>
      <c r="CT51" s="165"/>
      <c r="CU51" s="165"/>
      <c r="CV51" s="165"/>
      <c r="CW51" s="165"/>
      <c r="CX51" s="165"/>
      <c r="CY51" s="165"/>
      <c r="CZ51" s="165"/>
      <c r="DA51" s="165"/>
      <c r="DB51" s="165"/>
      <c r="DC51" s="165"/>
      <c r="DD51" s="165"/>
      <c r="DE51" s="165"/>
      <c r="DF51" s="165"/>
      <c r="DG51" s="165"/>
      <c r="DH51" s="165"/>
      <c r="DI51" s="165"/>
      <c r="DJ51" s="165"/>
      <c r="DK51" s="165"/>
      <c r="DL51" s="165"/>
      <c r="DM51" s="165"/>
      <c r="DN51" s="165"/>
      <c r="DO51" s="165"/>
      <c r="DP51" s="165"/>
      <c r="DQ51" s="165"/>
      <c r="DR51" s="165"/>
      <c r="DS51" s="165"/>
      <c r="DT51" s="165"/>
      <c r="DU51" s="165"/>
      <c r="DV51" s="165"/>
      <c r="DW51" s="165"/>
      <c r="DX51" s="165"/>
      <c r="DY51" s="165"/>
      <c r="DZ51" s="165"/>
      <c r="EA51" s="165"/>
      <c r="EB51" s="165"/>
      <c r="EC51" s="165"/>
      <c r="ED51" s="165"/>
      <c r="EE51" s="165"/>
      <c r="EF51" s="165"/>
      <c r="EG51" s="165"/>
      <c r="EH51" s="165"/>
      <c r="EI51" s="165"/>
      <c r="EJ51" s="165"/>
      <c r="EK51" s="165"/>
      <c r="EL51" s="165"/>
      <c r="EM51" s="165"/>
      <c r="EN51" s="165"/>
      <c r="EO51" s="165"/>
      <c r="EP51" s="165"/>
      <c r="EQ51" s="165"/>
      <c r="ER51" s="165"/>
      <c r="ES51" s="165"/>
    </row>
    <row r="52" spans="1:149" x14ac:dyDescent="0.25">
      <c r="A52" s="171"/>
      <c r="B52" s="168"/>
      <c r="C52" s="168"/>
      <c r="D52" s="168"/>
      <c r="E52" s="168"/>
      <c r="F52" s="168"/>
      <c r="G52" s="168"/>
      <c r="H52" s="168"/>
      <c r="I52" s="168"/>
      <c r="J52" s="168"/>
      <c r="K52" s="168"/>
      <c r="L52" s="168"/>
      <c r="M52" s="168"/>
      <c r="N52" s="169"/>
      <c r="O52" s="169"/>
      <c r="P52" s="169"/>
      <c r="Q52" s="169"/>
      <c r="R52" s="169"/>
      <c r="S52" s="169"/>
      <c r="T52" s="169"/>
      <c r="U52" s="169"/>
      <c r="V52" s="169"/>
      <c r="Y52" s="165" t="s">
        <v>788</v>
      </c>
    </row>
    <row r="53" spans="1:149" s="172" customFormat="1" x14ac:dyDescent="0.25">
      <c r="A53" s="171"/>
      <c r="B53" s="168"/>
      <c r="C53" s="168"/>
      <c r="D53" s="168"/>
      <c r="E53" s="168"/>
      <c r="F53" s="168"/>
      <c r="G53" s="168"/>
      <c r="H53" s="168"/>
      <c r="I53" s="168"/>
      <c r="J53" s="168"/>
      <c r="K53" s="168"/>
      <c r="L53" s="168"/>
      <c r="M53" s="168"/>
      <c r="N53" s="169"/>
      <c r="O53" s="169"/>
      <c r="P53" s="169"/>
      <c r="Q53" s="169"/>
      <c r="R53" s="169"/>
      <c r="S53" s="169"/>
      <c r="T53" s="169"/>
      <c r="U53" s="169"/>
      <c r="V53" s="169"/>
      <c r="W53" s="165"/>
      <c r="X53" s="165"/>
      <c r="Y53" s="165" t="s">
        <v>787</v>
      </c>
      <c r="Z53" s="165"/>
      <c r="AA53" s="165"/>
      <c r="AB53" s="165"/>
      <c r="AC53" s="165"/>
      <c r="AD53" s="165"/>
      <c r="AE53" s="165"/>
      <c r="AG53" s="165"/>
      <c r="AH53" s="165"/>
      <c r="AI53" s="165"/>
      <c r="AJ53" s="165"/>
      <c r="AK53" s="165"/>
      <c r="AL53" s="165"/>
      <c r="AM53" s="165"/>
      <c r="AN53" s="165"/>
      <c r="AO53" s="165"/>
      <c r="AP53" s="165"/>
      <c r="AQ53" s="165"/>
      <c r="AR53" s="165"/>
      <c r="AS53" s="165"/>
      <c r="AT53" s="165"/>
      <c r="AU53" s="165"/>
      <c r="AV53" s="165"/>
      <c r="AW53" s="165"/>
      <c r="AX53" s="165"/>
      <c r="AY53" s="165"/>
      <c r="AZ53" s="165"/>
      <c r="BA53" s="165"/>
      <c r="BB53" s="165"/>
      <c r="BC53" s="165"/>
      <c r="BD53" s="165"/>
      <c r="BE53" s="165"/>
      <c r="BF53" s="165"/>
      <c r="BG53" s="165"/>
      <c r="BH53" s="165"/>
      <c r="BI53" s="165"/>
      <c r="BJ53" s="165"/>
      <c r="BK53" s="165"/>
      <c r="BL53" s="165"/>
      <c r="BM53" s="165"/>
      <c r="BN53" s="165"/>
      <c r="BO53" s="165"/>
      <c r="BP53" s="165"/>
      <c r="BQ53" s="165"/>
      <c r="BR53" s="165"/>
      <c r="BS53" s="165"/>
      <c r="BT53" s="165"/>
      <c r="BU53" s="165"/>
      <c r="BV53" s="165"/>
      <c r="BW53" s="165"/>
      <c r="BX53" s="165"/>
      <c r="BY53" s="165"/>
      <c r="BZ53" s="165"/>
      <c r="CA53" s="165"/>
      <c r="CB53" s="165"/>
      <c r="CC53" s="165"/>
      <c r="CD53" s="165"/>
      <c r="CE53" s="165"/>
      <c r="CF53" s="165"/>
      <c r="CG53" s="165"/>
      <c r="CH53" s="165"/>
      <c r="CI53" s="165"/>
      <c r="CJ53" s="165"/>
      <c r="CK53" s="165"/>
      <c r="CL53" s="165"/>
      <c r="CM53" s="165"/>
      <c r="CN53" s="165"/>
      <c r="CO53" s="165"/>
      <c r="CP53" s="165"/>
      <c r="CQ53" s="165"/>
      <c r="CR53" s="165"/>
      <c r="CS53" s="165"/>
      <c r="CT53" s="165"/>
      <c r="CU53" s="165"/>
      <c r="CV53" s="165"/>
      <c r="CW53" s="165"/>
      <c r="CX53" s="165"/>
      <c r="CY53" s="165"/>
      <c r="CZ53" s="165"/>
      <c r="DA53" s="165"/>
      <c r="DB53" s="165"/>
      <c r="DC53" s="165"/>
      <c r="DD53" s="165"/>
      <c r="DE53" s="165"/>
      <c r="DF53" s="165"/>
      <c r="DG53" s="165"/>
      <c r="DH53" s="165"/>
      <c r="DI53" s="165"/>
      <c r="DJ53" s="165"/>
      <c r="DK53" s="165"/>
      <c r="DL53" s="165"/>
      <c r="DM53" s="165"/>
      <c r="DN53" s="165"/>
      <c r="DO53" s="165"/>
      <c r="DP53" s="165"/>
      <c r="DQ53" s="165"/>
      <c r="DR53" s="165"/>
      <c r="DS53" s="165"/>
      <c r="DT53" s="165"/>
      <c r="DU53" s="165"/>
      <c r="DV53" s="165"/>
      <c r="DW53" s="165"/>
      <c r="DX53" s="165"/>
      <c r="DY53" s="165"/>
      <c r="DZ53" s="165"/>
      <c r="EA53" s="165"/>
      <c r="EB53" s="165"/>
      <c r="EC53" s="165"/>
      <c r="ED53" s="165"/>
      <c r="EE53" s="165"/>
      <c r="EF53" s="165"/>
      <c r="EG53" s="165"/>
      <c r="EH53" s="165"/>
      <c r="EI53" s="165"/>
      <c r="EJ53" s="165"/>
      <c r="EK53" s="165"/>
      <c r="EL53" s="165"/>
      <c r="EM53" s="165"/>
      <c r="EN53" s="165"/>
      <c r="EO53" s="165"/>
      <c r="EP53" s="165"/>
      <c r="EQ53" s="165"/>
      <c r="ER53" s="165"/>
      <c r="ES53" s="165"/>
    </row>
    <row r="54" spans="1:149" s="172" customFormat="1" x14ac:dyDescent="0.25">
      <c r="A54" s="167"/>
      <c r="B54" s="173"/>
      <c r="C54" s="173"/>
      <c r="D54" s="173"/>
      <c r="E54" s="173"/>
      <c r="F54" s="173"/>
      <c r="G54" s="173"/>
      <c r="H54" s="173"/>
      <c r="I54" s="173"/>
      <c r="J54" s="173"/>
      <c r="K54" s="173"/>
      <c r="L54" s="173"/>
      <c r="M54" s="173"/>
      <c r="N54" s="169"/>
      <c r="O54" s="169"/>
      <c r="P54" s="169"/>
      <c r="Q54" s="169"/>
      <c r="R54" s="169"/>
      <c r="S54" s="169"/>
      <c r="T54" s="169"/>
      <c r="U54" s="169"/>
      <c r="V54" s="169"/>
      <c r="W54" s="165"/>
      <c r="X54" s="165"/>
      <c r="Y54" s="165" t="s">
        <v>786</v>
      </c>
      <c r="Z54" s="165"/>
      <c r="AA54" s="165"/>
      <c r="AB54" s="165"/>
      <c r="AC54" s="165"/>
      <c r="AD54" s="165"/>
      <c r="AE54" s="165"/>
      <c r="AG54" s="165"/>
      <c r="AH54" s="165"/>
      <c r="AI54" s="165"/>
      <c r="AJ54" s="165"/>
      <c r="AK54" s="165"/>
      <c r="AL54" s="165"/>
      <c r="AM54" s="165"/>
      <c r="AN54" s="165"/>
      <c r="AO54" s="165"/>
      <c r="AP54" s="165"/>
      <c r="AQ54" s="165"/>
      <c r="AR54" s="165"/>
      <c r="AS54" s="165"/>
      <c r="AT54" s="165"/>
      <c r="AU54" s="165"/>
      <c r="AV54" s="165"/>
      <c r="AW54" s="165"/>
      <c r="AX54" s="165"/>
      <c r="AY54" s="165"/>
      <c r="AZ54" s="165"/>
      <c r="BA54" s="165"/>
      <c r="BB54" s="165"/>
      <c r="BC54" s="165"/>
      <c r="BD54" s="165"/>
      <c r="BE54" s="165"/>
      <c r="BF54" s="165"/>
      <c r="BG54" s="165"/>
      <c r="BH54" s="165"/>
      <c r="BI54" s="165"/>
      <c r="BJ54" s="165"/>
      <c r="BK54" s="165"/>
      <c r="BL54" s="165"/>
      <c r="BM54" s="165"/>
      <c r="BN54" s="165"/>
      <c r="BO54" s="165"/>
      <c r="BP54" s="165"/>
      <c r="BQ54" s="165"/>
      <c r="BR54" s="165"/>
      <c r="BS54" s="165"/>
      <c r="BT54" s="165"/>
      <c r="BU54" s="165"/>
      <c r="BV54" s="165"/>
      <c r="BW54" s="165"/>
      <c r="BX54" s="165"/>
      <c r="BY54" s="165"/>
      <c r="BZ54" s="165"/>
      <c r="CA54" s="165"/>
      <c r="CB54" s="165"/>
      <c r="CC54" s="165"/>
      <c r="CD54" s="165"/>
      <c r="CE54" s="165"/>
      <c r="CF54" s="165"/>
      <c r="CG54" s="165"/>
      <c r="CH54" s="165"/>
      <c r="CI54" s="165"/>
      <c r="CJ54" s="165"/>
      <c r="CK54" s="165"/>
      <c r="CL54" s="165"/>
      <c r="CM54" s="165"/>
      <c r="CN54" s="165"/>
      <c r="CO54" s="165"/>
      <c r="CP54" s="165"/>
      <c r="CQ54" s="165"/>
      <c r="CR54" s="165"/>
      <c r="CS54" s="165"/>
      <c r="CT54" s="165"/>
      <c r="CU54" s="165"/>
      <c r="CV54" s="165"/>
      <c r="CW54" s="165"/>
      <c r="CX54" s="165"/>
      <c r="CY54" s="165"/>
      <c r="CZ54" s="165"/>
      <c r="DA54" s="165"/>
      <c r="DB54" s="165"/>
      <c r="DC54" s="165"/>
      <c r="DD54" s="165"/>
      <c r="DE54" s="165"/>
      <c r="DF54" s="165"/>
      <c r="DG54" s="165"/>
      <c r="DH54" s="165"/>
      <c r="DI54" s="165"/>
      <c r="DJ54" s="165"/>
      <c r="DK54" s="165"/>
      <c r="DL54" s="165"/>
      <c r="DM54" s="165"/>
      <c r="DN54" s="165"/>
      <c r="DO54" s="165"/>
      <c r="DP54" s="165"/>
      <c r="DQ54" s="165"/>
      <c r="DR54" s="165"/>
      <c r="DS54" s="165"/>
      <c r="DT54" s="165"/>
      <c r="DU54" s="165"/>
      <c r="DV54" s="165"/>
      <c r="DW54" s="165"/>
      <c r="DX54" s="165"/>
      <c r="DY54" s="165"/>
      <c r="DZ54" s="165"/>
      <c r="EA54" s="165"/>
      <c r="EB54" s="165"/>
      <c r="EC54" s="165"/>
      <c r="ED54" s="165"/>
      <c r="EE54" s="165"/>
      <c r="EF54" s="165"/>
      <c r="EG54" s="165"/>
      <c r="EH54" s="165"/>
      <c r="EI54" s="165"/>
      <c r="EJ54" s="165"/>
      <c r="EK54" s="165"/>
      <c r="EL54" s="165"/>
      <c r="EM54" s="165"/>
      <c r="EN54" s="165"/>
      <c r="EO54" s="165"/>
      <c r="EP54" s="165"/>
      <c r="EQ54" s="165"/>
      <c r="ER54" s="165"/>
      <c r="ES54" s="165"/>
    </row>
    <row r="55" spans="1:149" s="172" customFormat="1" x14ac:dyDescent="0.25">
      <c r="A55" s="167"/>
      <c r="B55" s="173"/>
      <c r="C55" s="173"/>
      <c r="D55" s="173"/>
      <c r="E55" s="173"/>
      <c r="F55" s="173"/>
      <c r="G55" s="173"/>
      <c r="H55" s="173"/>
      <c r="I55" s="173"/>
      <c r="J55" s="173"/>
      <c r="K55" s="173"/>
      <c r="L55" s="173"/>
      <c r="M55" s="173"/>
      <c r="N55" s="169"/>
      <c r="O55" s="169"/>
      <c r="P55" s="169"/>
      <c r="Q55" s="169"/>
      <c r="R55" s="169"/>
      <c r="S55" s="169"/>
      <c r="T55" s="169"/>
      <c r="U55" s="169"/>
      <c r="V55" s="169"/>
      <c r="W55" s="165"/>
      <c r="X55" s="165"/>
      <c r="Y55" s="165" t="s">
        <v>785</v>
      </c>
      <c r="Z55" s="165"/>
      <c r="AA55" s="165"/>
      <c r="AB55" s="165"/>
      <c r="AC55" s="165"/>
      <c r="AD55" s="165"/>
      <c r="AE55" s="165"/>
      <c r="AG55" s="165"/>
      <c r="AH55" s="165"/>
      <c r="AI55" s="165"/>
      <c r="AJ55" s="165"/>
      <c r="AK55" s="165"/>
      <c r="AL55" s="165"/>
      <c r="AM55" s="165"/>
      <c r="AN55" s="165"/>
      <c r="AO55" s="165"/>
      <c r="AP55" s="165"/>
      <c r="AQ55" s="165"/>
      <c r="AR55" s="165"/>
      <c r="AS55" s="165"/>
      <c r="AT55" s="165"/>
      <c r="AU55" s="165"/>
      <c r="AV55" s="165"/>
      <c r="AW55" s="165"/>
      <c r="AX55" s="165"/>
      <c r="AY55" s="165"/>
      <c r="AZ55" s="165"/>
      <c r="BA55" s="165"/>
      <c r="BB55" s="165"/>
      <c r="BC55" s="165"/>
      <c r="BD55" s="165"/>
      <c r="BE55" s="165"/>
      <c r="BF55" s="165"/>
      <c r="BG55" s="165"/>
      <c r="BH55" s="165"/>
      <c r="BI55" s="165"/>
      <c r="BJ55" s="165"/>
      <c r="BK55" s="165"/>
      <c r="BL55" s="165"/>
      <c r="BM55" s="165"/>
      <c r="BN55" s="165"/>
      <c r="BO55" s="165"/>
      <c r="BP55" s="165"/>
      <c r="BQ55" s="165"/>
      <c r="BR55" s="165"/>
      <c r="BS55" s="165"/>
      <c r="BT55" s="165"/>
      <c r="BU55" s="165"/>
      <c r="BV55" s="165"/>
      <c r="BW55" s="165"/>
      <c r="BX55" s="165"/>
      <c r="BY55" s="165"/>
      <c r="BZ55" s="165"/>
      <c r="CA55" s="165"/>
      <c r="CB55" s="165"/>
      <c r="CC55" s="165"/>
      <c r="CD55" s="165"/>
      <c r="CE55" s="165"/>
      <c r="CF55" s="165"/>
      <c r="CG55" s="165"/>
      <c r="CH55" s="165"/>
      <c r="CI55" s="165"/>
      <c r="CJ55" s="165"/>
      <c r="CK55" s="165"/>
      <c r="CL55" s="165"/>
      <c r="CM55" s="165"/>
      <c r="CN55" s="165"/>
      <c r="CO55" s="165"/>
      <c r="CP55" s="165"/>
      <c r="CQ55" s="165"/>
      <c r="CR55" s="165"/>
      <c r="CS55" s="165"/>
      <c r="CT55" s="165"/>
      <c r="CU55" s="165"/>
      <c r="CV55" s="165"/>
      <c r="CW55" s="165"/>
      <c r="CX55" s="165"/>
      <c r="CY55" s="165"/>
      <c r="CZ55" s="165"/>
      <c r="DA55" s="165"/>
      <c r="DB55" s="165"/>
      <c r="DC55" s="165"/>
      <c r="DD55" s="165"/>
      <c r="DE55" s="165"/>
      <c r="DF55" s="165"/>
      <c r="DG55" s="165"/>
      <c r="DH55" s="165"/>
      <c r="DI55" s="165"/>
      <c r="DJ55" s="165"/>
      <c r="DK55" s="165"/>
      <c r="DL55" s="165"/>
      <c r="DM55" s="165"/>
      <c r="DN55" s="165"/>
      <c r="DO55" s="165"/>
      <c r="DP55" s="165"/>
      <c r="DQ55" s="165"/>
      <c r="DR55" s="165"/>
      <c r="DS55" s="165"/>
      <c r="DT55" s="165"/>
      <c r="DU55" s="165"/>
      <c r="DV55" s="165"/>
      <c r="DW55" s="165"/>
      <c r="DX55" s="165"/>
      <c r="DY55" s="165"/>
      <c r="DZ55" s="165"/>
      <c r="EA55" s="165"/>
      <c r="EB55" s="165"/>
      <c r="EC55" s="165"/>
      <c r="ED55" s="165"/>
      <c r="EE55" s="165"/>
      <c r="EF55" s="165"/>
      <c r="EG55" s="165"/>
      <c r="EH55" s="165"/>
      <c r="EI55" s="165"/>
      <c r="EJ55" s="165"/>
      <c r="EK55" s="165"/>
      <c r="EL55" s="165"/>
      <c r="EM55" s="165"/>
      <c r="EN55" s="165"/>
      <c r="EO55" s="165"/>
      <c r="EP55" s="165"/>
      <c r="EQ55" s="165"/>
      <c r="ER55" s="165"/>
      <c r="ES55" s="165"/>
    </row>
    <row r="56" spans="1:149" s="172" customFormat="1" x14ac:dyDescent="0.25">
      <c r="A56" s="171"/>
      <c r="B56" s="170"/>
      <c r="C56" s="170"/>
      <c r="D56" s="170"/>
      <c r="E56" s="170"/>
      <c r="F56" s="170"/>
      <c r="G56" s="170"/>
      <c r="H56" s="170"/>
      <c r="I56" s="170"/>
      <c r="J56" s="170"/>
      <c r="K56" s="168"/>
      <c r="L56" s="168"/>
      <c r="M56" s="168"/>
      <c r="N56" s="168"/>
      <c r="O56" s="168"/>
      <c r="P56" s="168"/>
      <c r="Q56" s="169"/>
      <c r="R56" s="169"/>
      <c r="S56" s="169"/>
      <c r="T56" s="169"/>
      <c r="U56" s="169"/>
      <c r="V56" s="169"/>
      <c r="W56" s="165"/>
      <c r="X56" s="165"/>
      <c r="Y56" s="165" t="s">
        <v>784</v>
      </c>
      <c r="Z56" s="165"/>
      <c r="AA56" s="165"/>
      <c r="AB56" s="165"/>
      <c r="AC56" s="165"/>
      <c r="AD56" s="165"/>
      <c r="AE56" s="165"/>
      <c r="AG56" s="165"/>
      <c r="AH56" s="165"/>
      <c r="AI56" s="165"/>
      <c r="AJ56" s="165"/>
      <c r="AK56" s="165"/>
      <c r="AL56" s="165"/>
      <c r="AM56" s="165"/>
      <c r="AN56" s="165"/>
      <c r="AO56" s="165"/>
      <c r="AP56" s="165"/>
      <c r="AQ56" s="165"/>
      <c r="AR56" s="165"/>
      <c r="AS56" s="165"/>
      <c r="AT56" s="165"/>
      <c r="AU56" s="165"/>
      <c r="AV56" s="165"/>
      <c r="AW56" s="165"/>
      <c r="AX56" s="165"/>
      <c r="AY56" s="165"/>
      <c r="AZ56" s="165"/>
      <c r="BA56" s="165"/>
      <c r="BB56" s="165"/>
      <c r="BC56" s="165"/>
      <c r="BD56" s="165"/>
      <c r="BE56" s="165"/>
      <c r="BF56" s="165"/>
      <c r="BG56" s="165"/>
      <c r="BH56" s="165"/>
      <c r="BI56" s="165"/>
      <c r="BJ56" s="165"/>
      <c r="BK56" s="165"/>
      <c r="BL56" s="165"/>
      <c r="BM56" s="165"/>
      <c r="BN56" s="165"/>
      <c r="BO56" s="165"/>
      <c r="BP56" s="165"/>
      <c r="BQ56" s="165"/>
      <c r="BR56" s="165"/>
      <c r="BS56" s="165"/>
      <c r="BT56" s="165"/>
      <c r="BU56" s="165"/>
      <c r="BV56" s="165"/>
      <c r="BW56" s="165"/>
      <c r="BX56" s="165"/>
      <c r="BY56" s="165"/>
      <c r="BZ56" s="165"/>
      <c r="CA56" s="165"/>
      <c r="CB56" s="165"/>
      <c r="CC56" s="165"/>
      <c r="CD56" s="165"/>
      <c r="CE56" s="165"/>
      <c r="CF56" s="165"/>
      <c r="CG56" s="165"/>
      <c r="CH56" s="165"/>
      <c r="CI56" s="165"/>
      <c r="CJ56" s="165"/>
      <c r="CK56" s="165"/>
      <c r="CL56" s="165"/>
      <c r="CM56" s="165"/>
      <c r="CN56" s="165"/>
      <c r="CO56" s="165"/>
      <c r="CP56" s="165"/>
      <c r="CQ56" s="165"/>
      <c r="CR56" s="165"/>
      <c r="CS56" s="165"/>
      <c r="CT56" s="165"/>
      <c r="CU56" s="165"/>
      <c r="CV56" s="165"/>
      <c r="CW56" s="165"/>
      <c r="CX56" s="165"/>
      <c r="CY56" s="165"/>
      <c r="CZ56" s="165"/>
      <c r="DA56" s="165"/>
      <c r="DB56" s="165"/>
      <c r="DC56" s="165"/>
      <c r="DD56" s="165"/>
      <c r="DE56" s="165"/>
      <c r="DF56" s="165"/>
      <c r="DG56" s="165"/>
      <c r="DH56" s="165"/>
      <c r="DI56" s="165"/>
      <c r="DJ56" s="165"/>
      <c r="DK56" s="165"/>
      <c r="DL56" s="165"/>
      <c r="DM56" s="165"/>
      <c r="DN56" s="165"/>
      <c r="DO56" s="165"/>
      <c r="DP56" s="165"/>
      <c r="DQ56" s="165"/>
      <c r="DR56" s="165"/>
      <c r="DS56" s="165"/>
      <c r="DT56" s="165"/>
      <c r="DU56" s="165"/>
      <c r="DV56" s="165"/>
      <c r="DW56" s="165"/>
      <c r="DX56" s="165"/>
      <c r="DY56" s="165"/>
      <c r="DZ56" s="165"/>
      <c r="EA56" s="165"/>
      <c r="EB56" s="165"/>
      <c r="EC56" s="165"/>
      <c r="ED56" s="165"/>
      <c r="EE56" s="165"/>
      <c r="EF56" s="165"/>
      <c r="EG56" s="165"/>
      <c r="EH56" s="165"/>
      <c r="EI56" s="165"/>
      <c r="EJ56" s="165"/>
      <c r="EK56" s="165"/>
      <c r="EL56" s="165"/>
      <c r="EM56" s="165"/>
      <c r="EN56" s="165"/>
      <c r="EO56" s="165"/>
      <c r="EP56" s="165"/>
      <c r="EQ56" s="165"/>
      <c r="ER56" s="165"/>
      <c r="ES56" s="165"/>
    </row>
    <row r="57" spans="1:149" x14ac:dyDescent="0.25">
      <c r="A57" s="171"/>
      <c r="B57" s="170"/>
      <c r="C57" s="170"/>
      <c r="D57" s="170"/>
      <c r="E57" s="170"/>
      <c r="F57" s="170"/>
      <c r="G57" s="170"/>
      <c r="H57" s="170"/>
      <c r="I57" s="170"/>
      <c r="J57" s="170"/>
      <c r="K57" s="168"/>
      <c r="L57" s="168"/>
      <c r="M57" s="168"/>
      <c r="N57" s="169"/>
      <c r="O57" s="169"/>
      <c r="P57" s="169"/>
      <c r="Q57" s="168"/>
      <c r="R57" s="168"/>
      <c r="S57" s="168"/>
      <c r="T57" s="168"/>
      <c r="U57" s="168"/>
      <c r="V57" s="168"/>
      <c r="Y57" s="179" t="s">
        <v>783</v>
      </c>
    </row>
    <row r="58" spans="1:149" s="172" customFormat="1" x14ac:dyDescent="0.25">
      <c r="A58" s="171"/>
      <c r="B58" s="170"/>
      <c r="C58" s="170"/>
      <c r="D58" s="170"/>
      <c r="E58" s="170"/>
      <c r="F58" s="170"/>
      <c r="G58" s="170"/>
      <c r="H58" s="170"/>
      <c r="I58" s="170"/>
      <c r="J58" s="170"/>
      <c r="K58" s="168"/>
      <c r="L58" s="168"/>
      <c r="M58" s="168"/>
      <c r="N58" s="169"/>
      <c r="O58" s="169"/>
      <c r="P58" s="169"/>
      <c r="Q58" s="168"/>
      <c r="R58" s="168"/>
      <c r="S58" s="168"/>
      <c r="T58" s="168"/>
      <c r="U58" s="168"/>
      <c r="V58" s="168"/>
      <c r="W58" s="165"/>
      <c r="X58" s="165"/>
      <c r="Y58" s="179" t="s">
        <v>782</v>
      </c>
      <c r="Z58" s="165"/>
      <c r="AA58" s="165"/>
      <c r="AB58" s="165"/>
      <c r="AC58" s="165"/>
      <c r="AD58" s="165"/>
      <c r="AE58" s="165"/>
      <c r="AG58" s="165"/>
      <c r="AH58" s="165"/>
      <c r="AI58" s="165"/>
      <c r="AJ58" s="165"/>
      <c r="AK58" s="165"/>
      <c r="AL58" s="165"/>
      <c r="AM58" s="165"/>
      <c r="AN58" s="165"/>
      <c r="AO58" s="165"/>
      <c r="AP58" s="165"/>
      <c r="AQ58" s="165"/>
      <c r="AR58" s="165"/>
      <c r="AS58" s="165"/>
      <c r="AT58" s="165"/>
      <c r="AU58" s="165"/>
      <c r="AV58" s="165"/>
      <c r="AW58" s="165"/>
      <c r="AX58" s="165"/>
      <c r="AY58" s="165"/>
      <c r="AZ58" s="165"/>
      <c r="BA58" s="165"/>
      <c r="BB58" s="165"/>
      <c r="BC58" s="165"/>
      <c r="BD58" s="165"/>
      <c r="BE58" s="165"/>
      <c r="BF58" s="165"/>
      <c r="BG58" s="165"/>
      <c r="BH58" s="165"/>
      <c r="BI58" s="165"/>
      <c r="BJ58" s="165"/>
      <c r="BK58" s="165"/>
      <c r="BL58" s="165"/>
      <c r="BM58" s="165"/>
      <c r="BN58" s="165"/>
      <c r="BO58" s="165"/>
      <c r="BP58" s="165"/>
      <c r="BQ58" s="165"/>
      <c r="BR58" s="165"/>
      <c r="BS58" s="165"/>
      <c r="BT58" s="165"/>
      <c r="BU58" s="165"/>
      <c r="BV58" s="165"/>
      <c r="BW58" s="165"/>
      <c r="BX58" s="165"/>
      <c r="BY58" s="165"/>
      <c r="BZ58" s="165"/>
      <c r="CA58" s="165"/>
      <c r="CB58" s="165"/>
      <c r="CC58" s="165"/>
      <c r="CD58" s="165"/>
      <c r="CE58" s="165"/>
      <c r="CF58" s="165"/>
      <c r="CG58" s="165"/>
      <c r="CH58" s="165"/>
      <c r="CI58" s="165"/>
      <c r="CJ58" s="165"/>
      <c r="CK58" s="165"/>
      <c r="CL58" s="165"/>
      <c r="CM58" s="165"/>
      <c r="CN58" s="165"/>
      <c r="CO58" s="165"/>
      <c r="CP58" s="165"/>
      <c r="CQ58" s="165"/>
      <c r="CR58" s="165"/>
      <c r="CS58" s="165"/>
      <c r="CT58" s="165"/>
      <c r="CU58" s="165"/>
      <c r="CV58" s="165"/>
      <c r="CW58" s="165"/>
      <c r="CX58" s="165"/>
      <c r="CY58" s="165"/>
      <c r="CZ58" s="165"/>
      <c r="DA58" s="165"/>
      <c r="DB58" s="165"/>
      <c r="DC58" s="165"/>
      <c r="DD58" s="165"/>
      <c r="DE58" s="165"/>
      <c r="DF58" s="165"/>
      <c r="DG58" s="165"/>
      <c r="DH58" s="165"/>
      <c r="DI58" s="165"/>
      <c r="DJ58" s="165"/>
      <c r="DK58" s="165"/>
      <c r="DL58" s="165"/>
      <c r="DM58" s="165"/>
      <c r="DN58" s="165"/>
      <c r="DO58" s="165"/>
      <c r="DP58" s="165"/>
      <c r="DQ58" s="165"/>
      <c r="DR58" s="165"/>
      <c r="DS58" s="165"/>
      <c r="DT58" s="165"/>
      <c r="DU58" s="165"/>
      <c r="DV58" s="165"/>
      <c r="DW58" s="165"/>
      <c r="DX58" s="165"/>
      <c r="DY58" s="165"/>
      <c r="DZ58" s="165"/>
      <c r="EA58" s="165"/>
      <c r="EB58" s="165"/>
      <c r="EC58" s="165"/>
      <c r="ED58" s="165"/>
      <c r="EE58" s="165"/>
      <c r="EF58" s="165"/>
      <c r="EG58" s="165"/>
      <c r="EH58" s="165"/>
      <c r="EI58" s="165"/>
      <c r="EJ58" s="165"/>
      <c r="EK58" s="165"/>
      <c r="EL58" s="165"/>
      <c r="EM58" s="165"/>
      <c r="EN58" s="165"/>
      <c r="EO58" s="165"/>
      <c r="EP58" s="165"/>
      <c r="EQ58" s="165"/>
      <c r="ER58" s="165"/>
      <c r="ES58" s="165"/>
    </row>
    <row r="59" spans="1:149" x14ac:dyDescent="0.25">
      <c r="A59" s="171"/>
      <c r="B59" s="170"/>
      <c r="C59" s="170"/>
      <c r="D59" s="170"/>
      <c r="E59" s="170"/>
      <c r="F59" s="170"/>
      <c r="G59" s="170"/>
      <c r="H59" s="170"/>
      <c r="I59" s="170"/>
      <c r="J59" s="170"/>
      <c r="K59" s="168"/>
      <c r="L59" s="168"/>
      <c r="M59" s="168"/>
      <c r="N59" s="169"/>
      <c r="O59" s="169"/>
      <c r="P59" s="169"/>
      <c r="Q59" s="168"/>
      <c r="R59" s="168"/>
      <c r="S59" s="168"/>
      <c r="T59" s="168"/>
      <c r="U59" s="168"/>
      <c r="V59" s="168"/>
      <c r="Y59" s="165" t="s">
        <v>763</v>
      </c>
    </row>
    <row r="60" spans="1:149" x14ac:dyDescent="0.25">
      <c r="A60" s="167"/>
      <c r="B60" s="171"/>
      <c r="C60" s="171"/>
      <c r="D60" s="171"/>
      <c r="E60" s="171"/>
      <c r="F60" s="171"/>
      <c r="G60" s="171"/>
      <c r="H60" s="171"/>
      <c r="I60" s="171"/>
      <c r="J60" s="171"/>
      <c r="K60" s="171"/>
      <c r="L60" s="171"/>
      <c r="M60" s="171"/>
      <c r="N60" s="171"/>
      <c r="O60" s="171"/>
      <c r="P60" s="171"/>
      <c r="Q60" s="171"/>
      <c r="R60" s="171"/>
      <c r="S60" s="171"/>
      <c r="T60" s="171"/>
      <c r="U60" s="171"/>
      <c r="V60" s="171"/>
      <c r="Y60" s="165" t="s">
        <v>781</v>
      </c>
    </row>
    <row r="61" spans="1:149" x14ac:dyDescent="0.25">
      <c r="A61" s="171"/>
      <c r="B61" s="171"/>
      <c r="C61" s="171"/>
      <c r="D61" s="171"/>
      <c r="E61" s="171"/>
      <c r="F61" s="171"/>
      <c r="G61" s="171"/>
      <c r="H61" s="171"/>
      <c r="I61" s="171"/>
      <c r="J61" s="171"/>
      <c r="K61" s="171"/>
      <c r="L61" s="171"/>
      <c r="M61" s="171"/>
      <c r="N61" s="171"/>
      <c r="O61" s="171"/>
      <c r="P61" s="171"/>
      <c r="Q61" s="171"/>
      <c r="R61" s="171"/>
      <c r="S61" s="171"/>
      <c r="T61" s="171"/>
      <c r="U61" s="171"/>
      <c r="V61" s="171"/>
      <c r="Y61" s="165" t="s">
        <v>780</v>
      </c>
    </row>
    <row r="62" spans="1:149" ht="15" customHeight="1" x14ac:dyDescent="0.4">
      <c r="A62" s="178"/>
      <c r="B62" s="171"/>
      <c r="C62" s="171"/>
      <c r="D62" s="171"/>
      <c r="E62" s="171"/>
      <c r="F62" s="171"/>
      <c r="G62" s="171"/>
      <c r="H62" s="171"/>
      <c r="I62" s="168"/>
      <c r="J62" s="171"/>
      <c r="K62" s="171"/>
      <c r="L62" s="171"/>
      <c r="M62" s="171"/>
      <c r="N62" s="171"/>
      <c r="O62" s="171"/>
      <c r="P62" s="171"/>
      <c r="Q62" s="171"/>
      <c r="R62" s="171"/>
      <c r="S62" s="171"/>
      <c r="T62" s="171"/>
      <c r="U62" s="171"/>
      <c r="V62" s="171"/>
      <c r="Y62" s="165" t="s">
        <v>779</v>
      </c>
    </row>
    <row r="63" spans="1:149" ht="18.75" customHeight="1" x14ac:dyDescent="0.3">
      <c r="A63" s="175"/>
      <c r="B63" s="177"/>
      <c r="C63" s="177"/>
      <c r="D63" s="177"/>
      <c r="E63" s="177"/>
      <c r="F63" s="177"/>
      <c r="G63" s="177"/>
      <c r="H63" s="177"/>
      <c r="I63" s="177"/>
      <c r="J63" s="177"/>
      <c r="K63" s="177"/>
      <c r="L63" s="177"/>
      <c r="M63" s="177"/>
      <c r="N63" s="177"/>
      <c r="O63" s="177"/>
      <c r="P63" s="177"/>
      <c r="Q63" s="177"/>
      <c r="R63" s="177"/>
      <c r="S63" s="177"/>
      <c r="T63" s="177"/>
      <c r="U63" s="177"/>
      <c r="V63" s="177"/>
      <c r="Y63" s="165" t="s">
        <v>778</v>
      </c>
    </row>
    <row r="64" spans="1:149" ht="17.45" customHeight="1" x14ac:dyDescent="0.25">
      <c r="A64" s="175"/>
      <c r="B64" s="176"/>
      <c r="C64" s="176"/>
      <c r="D64" s="176"/>
      <c r="E64" s="176"/>
      <c r="F64" s="176"/>
      <c r="G64" s="176"/>
      <c r="H64" s="176"/>
      <c r="I64" s="176"/>
      <c r="J64" s="176"/>
      <c r="K64" s="176"/>
      <c r="L64" s="176"/>
      <c r="M64" s="176"/>
      <c r="N64" s="176"/>
      <c r="O64" s="176"/>
      <c r="P64" s="176"/>
      <c r="Q64" s="176"/>
      <c r="R64" s="176"/>
      <c r="S64" s="176"/>
      <c r="T64" s="176"/>
      <c r="U64" s="176"/>
      <c r="V64" s="176"/>
      <c r="Y64" s="165" t="s">
        <v>777</v>
      </c>
    </row>
    <row r="65" spans="1:149" ht="14.25" customHeight="1" x14ac:dyDescent="0.25">
      <c r="A65" s="175"/>
      <c r="B65" s="174"/>
      <c r="C65" s="174"/>
      <c r="D65" s="174"/>
      <c r="E65" s="174"/>
      <c r="F65" s="174"/>
      <c r="G65" s="174"/>
      <c r="H65" s="174"/>
      <c r="I65" s="174"/>
      <c r="J65" s="174"/>
      <c r="K65" s="174"/>
      <c r="L65" s="174"/>
      <c r="M65" s="174"/>
      <c r="N65" s="174"/>
      <c r="O65" s="174"/>
      <c r="P65" s="174"/>
      <c r="Q65" s="174"/>
      <c r="R65" s="174"/>
      <c r="S65" s="174"/>
      <c r="T65" s="174"/>
      <c r="U65" s="174"/>
      <c r="V65" s="174"/>
      <c r="Y65" s="165" t="s">
        <v>776</v>
      </c>
    </row>
    <row r="66" spans="1:149" s="172" customFormat="1" x14ac:dyDescent="0.25">
      <c r="A66" s="171"/>
      <c r="B66" s="168"/>
      <c r="C66" s="168"/>
      <c r="D66" s="168"/>
      <c r="E66" s="168"/>
      <c r="F66" s="168"/>
      <c r="G66" s="168"/>
      <c r="H66" s="168"/>
      <c r="I66" s="168"/>
      <c r="J66" s="168"/>
      <c r="K66" s="168"/>
      <c r="L66" s="168"/>
      <c r="M66" s="168"/>
      <c r="N66" s="169"/>
      <c r="O66" s="169"/>
      <c r="P66" s="169"/>
      <c r="Q66" s="169"/>
      <c r="R66" s="169"/>
      <c r="S66" s="169"/>
      <c r="T66" s="169"/>
      <c r="U66" s="169"/>
      <c r="V66" s="169"/>
      <c r="W66" s="165"/>
      <c r="X66" s="165"/>
      <c r="Y66" s="165" t="s">
        <v>775</v>
      </c>
      <c r="Z66" s="165"/>
      <c r="AA66" s="165"/>
      <c r="AB66" s="165"/>
      <c r="AC66" s="165"/>
      <c r="AD66" s="165"/>
      <c r="AE66" s="165"/>
      <c r="AG66" s="165"/>
      <c r="AH66" s="165"/>
      <c r="AI66" s="165"/>
      <c r="AJ66" s="165"/>
      <c r="AK66" s="165"/>
      <c r="AL66" s="165"/>
      <c r="AM66" s="165"/>
      <c r="AN66" s="165"/>
      <c r="AO66" s="165"/>
      <c r="AP66" s="165"/>
      <c r="AQ66" s="165"/>
      <c r="AR66" s="165"/>
      <c r="AS66" s="165"/>
      <c r="AT66" s="165"/>
      <c r="AU66" s="165"/>
      <c r="AV66" s="165"/>
      <c r="AW66" s="165"/>
      <c r="AX66" s="165"/>
      <c r="AY66" s="165"/>
      <c r="AZ66" s="165"/>
      <c r="BA66" s="165"/>
      <c r="BB66" s="165"/>
      <c r="BC66" s="165"/>
      <c r="BD66" s="165"/>
      <c r="BE66" s="165"/>
      <c r="BF66" s="165"/>
      <c r="BG66" s="165"/>
      <c r="BH66" s="165"/>
      <c r="BI66" s="165"/>
      <c r="BJ66" s="165"/>
      <c r="BK66" s="165"/>
      <c r="BL66" s="165"/>
      <c r="BM66" s="165"/>
      <c r="BN66" s="165"/>
      <c r="BO66" s="165"/>
      <c r="BP66" s="165"/>
      <c r="BQ66" s="165"/>
      <c r="BR66" s="165"/>
      <c r="BS66" s="165"/>
      <c r="BT66" s="165"/>
      <c r="BU66" s="165"/>
      <c r="BV66" s="165"/>
      <c r="BW66" s="165"/>
      <c r="BX66" s="165"/>
      <c r="BY66" s="165"/>
      <c r="BZ66" s="165"/>
      <c r="CA66" s="165"/>
      <c r="CB66" s="165"/>
      <c r="CC66" s="165"/>
      <c r="CD66" s="165"/>
      <c r="CE66" s="165"/>
      <c r="CF66" s="165"/>
      <c r="CG66" s="165"/>
      <c r="CH66" s="165"/>
      <c r="CI66" s="165"/>
      <c r="CJ66" s="165"/>
      <c r="CK66" s="165"/>
      <c r="CL66" s="165"/>
      <c r="CM66" s="165"/>
      <c r="CN66" s="165"/>
      <c r="CO66" s="165"/>
      <c r="CP66" s="165"/>
      <c r="CQ66" s="165"/>
      <c r="CR66" s="165"/>
      <c r="CS66" s="165"/>
      <c r="CT66" s="165"/>
      <c r="CU66" s="165"/>
      <c r="CV66" s="165"/>
      <c r="CW66" s="165"/>
      <c r="CX66" s="165"/>
      <c r="CY66" s="165"/>
      <c r="CZ66" s="165"/>
      <c r="DA66" s="165"/>
      <c r="DB66" s="165"/>
      <c r="DC66" s="165"/>
      <c r="DD66" s="165"/>
      <c r="DE66" s="165"/>
      <c r="DF66" s="165"/>
      <c r="DG66" s="165"/>
      <c r="DH66" s="165"/>
      <c r="DI66" s="165"/>
      <c r="DJ66" s="165"/>
      <c r="DK66" s="165"/>
      <c r="DL66" s="165"/>
      <c r="DM66" s="165"/>
      <c r="DN66" s="165"/>
      <c r="DO66" s="165"/>
      <c r="DP66" s="165"/>
      <c r="DQ66" s="165"/>
      <c r="DR66" s="165"/>
      <c r="DS66" s="165"/>
      <c r="DT66" s="165"/>
      <c r="DU66" s="165"/>
      <c r="DV66" s="165"/>
      <c r="DW66" s="165"/>
      <c r="DX66" s="165"/>
      <c r="DY66" s="165"/>
      <c r="DZ66" s="165"/>
      <c r="EA66" s="165"/>
      <c r="EB66" s="165"/>
      <c r="EC66" s="165"/>
      <c r="ED66" s="165"/>
      <c r="EE66" s="165"/>
      <c r="EF66" s="165"/>
      <c r="EG66" s="165"/>
      <c r="EH66" s="165"/>
      <c r="EI66" s="165"/>
      <c r="EJ66" s="165"/>
      <c r="EK66" s="165"/>
      <c r="EL66" s="165"/>
      <c r="EM66" s="165"/>
      <c r="EN66" s="165"/>
      <c r="EO66" s="165"/>
      <c r="EP66" s="165"/>
      <c r="EQ66" s="165"/>
      <c r="ER66" s="165"/>
      <c r="ES66" s="165"/>
    </row>
    <row r="67" spans="1:149" x14ac:dyDescent="0.25">
      <c r="A67" s="171"/>
      <c r="B67" s="168"/>
      <c r="C67" s="168"/>
      <c r="D67" s="168"/>
      <c r="E67" s="168"/>
      <c r="F67" s="168"/>
      <c r="G67" s="168"/>
      <c r="H67" s="168"/>
      <c r="I67" s="168"/>
      <c r="J67" s="168"/>
      <c r="K67" s="168"/>
      <c r="L67" s="168"/>
      <c r="M67" s="168"/>
      <c r="N67" s="169"/>
      <c r="O67" s="169"/>
      <c r="P67" s="169"/>
      <c r="Q67" s="169"/>
      <c r="R67" s="169"/>
      <c r="S67" s="169"/>
      <c r="T67" s="169"/>
      <c r="U67" s="169"/>
      <c r="V67" s="169"/>
      <c r="Y67" s="165" t="s">
        <v>774</v>
      </c>
    </row>
    <row r="68" spans="1:149" x14ac:dyDescent="0.25">
      <c r="A68" s="171"/>
      <c r="B68" s="168"/>
      <c r="C68" s="168"/>
      <c r="D68" s="168"/>
      <c r="E68" s="168"/>
      <c r="F68" s="168"/>
      <c r="G68" s="168"/>
      <c r="H68" s="168"/>
      <c r="I68" s="168"/>
      <c r="J68" s="168"/>
      <c r="K68" s="168"/>
      <c r="L68" s="168"/>
      <c r="M68" s="168"/>
      <c r="N68" s="169"/>
      <c r="O68" s="169"/>
      <c r="P68" s="169"/>
      <c r="Q68" s="169"/>
      <c r="R68" s="169"/>
      <c r="S68" s="169"/>
      <c r="T68" s="169"/>
      <c r="U68" s="169"/>
      <c r="V68" s="169"/>
      <c r="Y68" s="165" t="s">
        <v>773</v>
      </c>
    </row>
    <row r="69" spans="1:149" s="172" customFormat="1" x14ac:dyDescent="0.25">
      <c r="A69" s="171"/>
      <c r="B69" s="168"/>
      <c r="C69" s="168"/>
      <c r="D69" s="168"/>
      <c r="E69" s="168"/>
      <c r="F69" s="168"/>
      <c r="G69" s="168"/>
      <c r="H69" s="168"/>
      <c r="I69" s="168"/>
      <c r="J69" s="168"/>
      <c r="K69" s="168"/>
      <c r="L69" s="168"/>
      <c r="M69" s="168"/>
      <c r="N69" s="169"/>
      <c r="O69" s="169"/>
      <c r="P69" s="169"/>
      <c r="Q69" s="169"/>
      <c r="R69" s="169"/>
      <c r="S69" s="169"/>
      <c r="T69" s="169"/>
      <c r="U69" s="169"/>
      <c r="V69" s="169"/>
      <c r="W69" s="165"/>
      <c r="X69" s="165"/>
      <c r="Y69" s="165" t="s">
        <v>772</v>
      </c>
      <c r="Z69" s="165"/>
      <c r="AA69" s="165"/>
      <c r="AB69" s="165"/>
      <c r="AC69" s="165"/>
      <c r="AD69" s="165"/>
      <c r="AE69" s="165"/>
      <c r="AG69" s="165"/>
      <c r="AH69" s="165"/>
      <c r="AI69" s="165"/>
      <c r="AJ69" s="165"/>
      <c r="AK69" s="165"/>
      <c r="AL69" s="165"/>
      <c r="AM69" s="165"/>
      <c r="AN69" s="165"/>
      <c r="AO69" s="165"/>
      <c r="AP69" s="165"/>
      <c r="AQ69" s="165"/>
      <c r="AR69" s="165"/>
      <c r="AS69" s="165"/>
      <c r="AT69" s="165"/>
      <c r="AU69" s="165"/>
      <c r="AV69" s="165"/>
      <c r="AW69" s="165"/>
      <c r="AX69" s="165"/>
      <c r="AY69" s="165"/>
      <c r="AZ69" s="165"/>
      <c r="BA69" s="165"/>
      <c r="BB69" s="165"/>
      <c r="BC69" s="165"/>
      <c r="BD69" s="165"/>
      <c r="BE69" s="165"/>
      <c r="BF69" s="165"/>
      <c r="BG69" s="165"/>
      <c r="BH69" s="165"/>
      <c r="BI69" s="165"/>
      <c r="BJ69" s="165"/>
      <c r="BK69" s="165"/>
      <c r="BL69" s="165"/>
      <c r="BM69" s="165"/>
      <c r="BN69" s="165"/>
      <c r="BO69" s="165"/>
      <c r="BP69" s="165"/>
      <c r="BQ69" s="165"/>
      <c r="BR69" s="165"/>
      <c r="BS69" s="165"/>
      <c r="BT69" s="165"/>
      <c r="BU69" s="165"/>
      <c r="BV69" s="165"/>
      <c r="BW69" s="165"/>
      <c r="BX69" s="165"/>
      <c r="BY69" s="165"/>
      <c r="BZ69" s="165"/>
      <c r="CA69" s="165"/>
      <c r="CB69" s="165"/>
      <c r="CC69" s="165"/>
      <c r="CD69" s="165"/>
      <c r="CE69" s="165"/>
      <c r="CF69" s="165"/>
      <c r="CG69" s="165"/>
      <c r="CH69" s="165"/>
      <c r="CI69" s="165"/>
      <c r="CJ69" s="165"/>
      <c r="CK69" s="165"/>
      <c r="CL69" s="165"/>
      <c r="CM69" s="165"/>
      <c r="CN69" s="165"/>
      <c r="CO69" s="165"/>
      <c r="CP69" s="165"/>
      <c r="CQ69" s="165"/>
      <c r="CR69" s="165"/>
      <c r="CS69" s="165"/>
      <c r="CT69" s="165"/>
      <c r="CU69" s="165"/>
      <c r="CV69" s="165"/>
      <c r="CW69" s="165"/>
      <c r="CX69" s="165"/>
      <c r="CY69" s="165"/>
      <c r="CZ69" s="165"/>
      <c r="DA69" s="165"/>
      <c r="DB69" s="165"/>
      <c r="DC69" s="165"/>
      <c r="DD69" s="165"/>
      <c r="DE69" s="165"/>
      <c r="DF69" s="165"/>
      <c r="DG69" s="165"/>
      <c r="DH69" s="165"/>
      <c r="DI69" s="165"/>
      <c r="DJ69" s="165"/>
      <c r="DK69" s="165"/>
      <c r="DL69" s="165"/>
      <c r="DM69" s="165"/>
      <c r="DN69" s="165"/>
      <c r="DO69" s="165"/>
      <c r="DP69" s="165"/>
      <c r="DQ69" s="165"/>
      <c r="DR69" s="165"/>
      <c r="DS69" s="165"/>
      <c r="DT69" s="165"/>
      <c r="DU69" s="165"/>
      <c r="DV69" s="165"/>
      <c r="DW69" s="165"/>
      <c r="DX69" s="165"/>
      <c r="DY69" s="165"/>
      <c r="DZ69" s="165"/>
      <c r="EA69" s="165"/>
      <c r="EB69" s="165"/>
      <c r="EC69" s="165"/>
      <c r="ED69" s="165"/>
      <c r="EE69" s="165"/>
      <c r="EF69" s="165"/>
      <c r="EG69" s="165"/>
      <c r="EH69" s="165"/>
      <c r="EI69" s="165"/>
      <c r="EJ69" s="165"/>
      <c r="EK69" s="165"/>
      <c r="EL69" s="165"/>
      <c r="EM69" s="165"/>
      <c r="EN69" s="165"/>
      <c r="EO69" s="165"/>
      <c r="EP69" s="165"/>
      <c r="EQ69" s="165"/>
      <c r="ER69" s="165"/>
      <c r="ES69" s="165"/>
    </row>
    <row r="70" spans="1:149" s="172" customFormat="1" x14ac:dyDescent="0.25">
      <c r="A70" s="167"/>
      <c r="B70" s="170"/>
      <c r="C70" s="170"/>
      <c r="D70" s="170"/>
      <c r="E70" s="170"/>
      <c r="F70" s="170"/>
      <c r="G70" s="170"/>
      <c r="H70" s="170"/>
      <c r="I70" s="170"/>
      <c r="J70" s="170"/>
      <c r="K70" s="168"/>
      <c r="L70" s="168"/>
      <c r="M70" s="168"/>
      <c r="N70" s="169"/>
      <c r="O70" s="169"/>
      <c r="P70" s="169"/>
      <c r="Q70" s="169"/>
      <c r="R70" s="169"/>
      <c r="S70" s="169"/>
      <c r="T70" s="169"/>
      <c r="U70" s="169"/>
      <c r="V70" s="169"/>
      <c r="W70" s="165"/>
      <c r="X70" s="165"/>
      <c r="Y70" s="165" t="s">
        <v>771</v>
      </c>
      <c r="Z70" s="165"/>
      <c r="AA70" s="165"/>
      <c r="AB70" s="165"/>
      <c r="AC70" s="165"/>
      <c r="AD70" s="165"/>
      <c r="AE70" s="165"/>
      <c r="AG70" s="165"/>
      <c r="AH70" s="165"/>
      <c r="AI70" s="165"/>
      <c r="AJ70" s="165"/>
      <c r="AK70" s="165"/>
      <c r="AL70" s="165"/>
      <c r="AM70" s="165"/>
      <c r="AN70" s="165"/>
      <c r="AO70" s="165"/>
      <c r="AP70" s="165"/>
      <c r="AQ70" s="165"/>
      <c r="AR70" s="165"/>
      <c r="AS70" s="165"/>
      <c r="AT70" s="165"/>
      <c r="AU70" s="165"/>
      <c r="AV70" s="165"/>
      <c r="AW70" s="165"/>
      <c r="AX70" s="165"/>
      <c r="AY70" s="165"/>
      <c r="AZ70" s="165"/>
      <c r="BA70" s="165"/>
      <c r="BB70" s="165"/>
      <c r="BC70" s="165"/>
      <c r="BD70" s="165"/>
      <c r="BE70" s="165"/>
      <c r="BF70" s="165"/>
      <c r="BG70" s="165"/>
      <c r="BH70" s="165"/>
      <c r="BI70" s="165"/>
      <c r="BJ70" s="165"/>
      <c r="BK70" s="165"/>
      <c r="BL70" s="165"/>
      <c r="BM70" s="165"/>
      <c r="BN70" s="165"/>
      <c r="BO70" s="165"/>
      <c r="BP70" s="165"/>
      <c r="BQ70" s="165"/>
      <c r="BR70" s="165"/>
      <c r="BS70" s="165"/>
      <c r="BT70" s="165"/>
      <c r="BU70" s="165"/>
      <c r="BV70" s="165"/>
      <c r="BW70" s="165"/>
      <c r="BX70" s="165"/>
      <c r="BY70" s="165"/>
      <c r="BZ70" s="165"/>
      <c r="CA70" s="165"/>
      <c r="CB70" s="165"/>
      <c r="CC70" s="165"/>
      <c r="CD70" s="165"/>
      <c r="CE70" s="165"/>
      <c r="CF70" s="165"/>
      <c r="CG70" s="165"/>
      <c r="CH70" s="165"/>
      <c r="CI70" s="165"/>
      <c r="CJ70" s="165"/>
      <c r="CK70" s="165"/>
      <c r="CL70" s="165"/>
      <c r="CM70" s="165"/>
      <c r="CN70" s="165"/>
      <c r="CO70" s="165"/>
      <c r="CP70" s="165"/>
      <c r="CQ70" s="165"/>
      <c r="CR70" s="165"/>
      <c r="CS70" s="165"/>
      <c r="CT70" s="165"/>
      <c r="CU70" s="165"/>
      <c r="CV70" s="165"/>
      <c r="CW70" s="165"/>
      <c r="CX70" s="165"/>
      <c r="CY70" s="165"/>
      <c r="CZ70" s="165"/>
      <c r="DA70" s="165"/>
      <c r="DB70" s="165"/>
      <c r="DC70" s="165"/>
      <c r="DD70" s="165"/>
      <c r="DE70" s="165"/>
      <c r="DF70" s="165"/>
      <c r="DG70" s="165"/>
      <c r="DH70" s="165"/>
      <c r="DI70" s="165"/>
      <c r="DJ70" s="165"/>
      <c r="DK70" s="165"/>
      <c r="DL70" s="165"/>
      <c r="DM70" s="165"/>
      <c r="DN70" s="165"/>
      <c r="DO70" s="165"/>
      <c r="DP70" s="165"/>
      <c r="DQ70" s="165"/>
      <c r="DR70" s="165"/>
      <c r="DS70" s="165"/>
      <c r="DT70" s="165"/>
      <c r="DU70" s="165"/>
      <c r="DV70" s="165"/>
      <c r="DW70" s="165"/>
      <c r="DX70" s="165"/>
      <c r="DY70" s="165"/>
      <c r="DZ70" s="165"/>
      <c r="EA70" s="165"/>
      <c r="EB70" s="165"/>
      <c r="EC70" s="165"/>
      <c r="ED70" s="165"/>
      <c r="EE70" s="165"/>
      <c r="EF70" s="165"/>
      <c r="EG70" s="165"/>
      <c r="EH70" s="165"/>
      <c r="EI70" s="165"/>
      <c r="EJ70" s="165"/>
      <c r="EK70" s="165"/>
      <c r="EL70" s="165"/>
      <c r="EM70" s="165"/>
      <c r="EN70" s="165"/>
      <c r="EO70" s="165"/>
      <c r="EP70" s="165"/>
      <c r="EQ70" s="165"/>
      <c r="ER70" s="165"/>
      <c r="ES70" s="165"/>
    </row>
    <row r="71" spans="1:149" x14ac:dyDescent="0.25">
      <c r="A71" s="171"/>
      <c r="B71" s="168"/>
      <c r="C71" s="168"/>
      <c r="D71" s="168"/>
      <c r="E71" s="168"/>
      <c r="F71" s="168"/>
      <c r="G71" s="168"/>
      <c r="H71" s="168"/>
      <c r="I71" s="168"/>
      <c r="J71" s="168"/>
      <c r="K71" s="168"/>
      <c r="L71" s="168"/>
      <c r="M71" s="168"/>
      <c r="N71" s="169"/>
      <c r="O71" s="169"/>
      <c r="P71" s="169"/>
      <c r="Q71" s="169"/>
      <c r="R71" s="169"/>
      <c r="S71" s="169"/>
      <c r="T71" s="169"/>
      <c r="U71" s="169"/>
      <c r="V71" s="169"/>
      <c r="Y71" s="165" t="s">
        <v>770</v>
      </c>
    </row>
    <row r="72" spans="1:149" s="172" customFormat="1" x14ac:dyDescent="0.25">
      <c r="A72" s="171"/>
      <c r="B72" s="168"/>
      <c r="C72" s="168"/>
      <c r="D72" s="168"/>
      <c r="E72" s="168"/>
      <c r="F72" s="168"/>
      <c r="G72" s="168"/>
      <c r="H72" s="168"/>
      <c r="I72" s="168"/>
      <c r="J72" s="168"/>
      <c r="K72" s="168"/>
      <c r="L72" s="168"/>
      <c r="M72" s="168"/>
      <c r="N72" s="169"/>
      <c r="O72" s="169"/>
      <c r="P72" s="169"/>
      <c r="Q72" s="169"/>
      <c r="R72" s="169"/>
      <c r="S72" s="169"/>
      <c r="T72" s="169"/>
      <c r="U72" s="169"/>
      <c r="V72" s="169"/>
      <c r="W72" s="165"/>
      <c r="X72" s="165"/>
      <c r="Y72" s="165" t="s">
        <v>769</v>
      </c>
      <c r="Z72" s="165"/>
      <c r="AA72" s="165"/>
      <c r="AB72" s="165"/>
      <c r="AC72" s="165"/>
      <c r="AD72" s="165"/>
      <c r="AE72" s="165"/>
      <c r="AG72" s="165"/>
      <c r="AH72" s="165"/>
      <c r="AI72" s="165"/>
      <c r="AJ72" s="165"/>
      <c r="AK72" s="165"/>
      <c r="AL72" s="165"/>
      <c r="AM72" s="165"/>
      <c r="AN72" s="165"/>
      <c r="AO72" s="165"/>
      <c r="AP72" s="165"/>
      <c r="AQ72" s="165"/>
      <c r="AR72" s="165"/>
      <c r="AS72" s="165"/>
      <c r="AT72" s="165"/>
      <c r="AU72" s="165"/>
      <c r="AV72" s="165"/>
      <c r="AW72" s="165"/>
      <c r="AX72" s="165"/>
      <c r="AY72" s="165"/>
      <c r="AZ72" s="165"/>
      <c r="BA72" s="165"/>
      <c r="BB72" s="165"/>
      <c r="BC72" s="165"/>
      <c r="BD72" s="165"/>
      <c r="BE72" s="165"/>
      <c r="BF72" s="165"/>
      <c r="BG72" s="165"/>
      <c r="BH72" s="165"/>
      <c r="BI72" s="165"/>
      <c r="BJ72" s="165"/>
      <c r="BK72" s="165"/>
      <c r="BL72" s="165"/>
      <c r="BM72" s="165"/>
      <c r="BN72" s="165"/>
      <c r="BO72" s="165"/>
      <c r="BP72" s="165"/>
      <c r="BQ72" s="165"/>
      <c r="BR72" s="165"/>
      <c r="BS72" s="165"/>
      <c r="BT72" s="165"/>
      <c r="BU72" s="165"/>
      <c r="BV72" s="165"/>
      <c r="BW72" s="165"/>
      <c r="BX72" s="165"/>
      <c r="BY72" s="165"/>
      <c r="BZ72" s="165"/>
      <c r="CA72" s="165"/>
      <c r="CB72" s="165"/>
      <c r="CC72" s="165"/>
      <c r="CD72" s="165"/>
      <c r="CE72" s="165"/>
      <c r="CF72" s="165"/>
      <c r="CG72" s="165"/>
      <c r="CH72" s="165"/>
      <c r="CI72" s="165"/>
      <c r="CJ72" s="165"/>
      <c r="CK72" s="165"/>
      <c r="CL72" s="165"/>
      <c r="CM72" s="165"/>
      <c r="CN72" s="165"/>
      <c r="CO72" s="165"/>
      <c r="CP72" s="165"/>
      <c r="CQ72" s="165"/>
      <c r="CR72" s="165"/>
      <c r="CS72" s="165"/>
      <c r="CT72" s="165"/>
      <c r="CU72" s="165"/>
      <c r="CV72" s="165"/>
      <c r="CW72" s="165"/>
      <c r="CX72" s="165"/>
      <c r="CY72" s="165"/>
      <c r="CZ72" s="165"/>
      <c r="DA72" s="165"/>
      <c r="DB72" s="165"/>
      <c r="DC72" s="165"/>
      <c r="DD72" s="165"/>
      <c r="DE72" s="165"/>
      <c r="DF72" s="165"/>
      <c r="DG72" s="165"/>
      <c r="DH72" s="165"/>
      <c r="DI72" s="165"/>
      <c r="DJ72" s="165"/>
      <c r="DK72" s="165"/>
      <c r="DL72" s="165"/>
      <c r="DM72" s="165"/>
      <c r="DN72" s="165"/>
      <c r="DO72" s="165"/>
      <c r="DP72" s="165"/>
      <c r="DQ72" s="165"/>
      <c r="DR72" s="165"/>
      <c r="DS72" s="165"/>
      <c r="DT72" s="165"/>
      <c r="DU72" s="165"/>
      <c r="DV72" s="165"/>
      <c r="DW72" s="165"/>
      <c r="DX72" s="165"/>
      <c r="DY72" s="165"/>
      <c r="DZ72" s="165"/>
      <c r="EA72" s="165"/>
      <c r="EB72" s="165"/>
      <c r="EC72" s="165"/>
      <c r="ED72" s="165"/>
      <c r="EE72" s="165"/>
      <c r="EF72" s="165"/>
      <c r="EG72" s="165"/>
      <c r="EH72" s="165"/>
      <c r="EI72" s="165"/>
      <c r="EJ72" s="165"/>
      <c r="EK72" s="165"/>
      <c r="EL72" s="165"/>
      <c r="EM72" s="165"/>
      <c r="EN72" s="165"/>
      <c r="EO72" s="165"/>
      <c r="EP72" s="165"/>
      <c r="EQ72" s="165"/>
      <c r="ER72" s="165"/>
      <c r="ES72" s="165"/>
    </row>
    <row r="73" spans="1:149" s="172" customFormat="1" x14ac:dyDescent="0.25">
      <c r="A73" s="167"/>
      <c r="B73" s="173"/>
      <c r="C73" s="173"/>
      <c r="D73" s="173"/>
      <c r="E73" s="173"/>
      <c r="F73" s="173"/>
      <c r="G73" s="173"/>
      <c r="H73" s="173"/>
      <c r="I73" s="173"/>
      <c r="J73" s="173"/>
      <c r="K73" s="173"/>
      <c r="L73" s="173"/>
      <c r="M73" s="173"/>
      <c r="N73" s="169"/>
      <c r="O73" s="169"/>
      <c r="P73" s="169"/>
      <c r="Q73" s="169"/>
      <c r="R73" s="169"/>
      <c r="S73" s="169"/>
      <c r="T73" s="169"/>
      <c r="U73" s="169"/>
      <c r="V73" s="169"/>
      <c r="W73" s="165"/>
      <c r="X73" s="165"/>
      <c r="Y73" s="165" t="s">
        <v>768</v>
      </c>
      <c r="Z73" s="165"/>
      <c r="AA73" s="165"/>
      <c r="AB73" s="165"/>
      <c r="AC73" s="165"/>
      <c r="AD73" s="165"/>
      <c r="AE73" s="165"/>
      <c r="AG73" s="165"/>
      <c r="AH73" s="165"/>
      <c r="AI73" s="165"/>
      <c r="AJ73" s="165"/>
      <c r="AK73" s="165"/>
      <c r="AL73" s="165"/>
      <c r="AM73" s="165"/>
      <c r="AN73" s="165"/>
      <c r="AO73" s="165"/>
      <c r="AP73" s="165"/>
      <c r="AQ73" s="165"/>
      <c r="AR73" s="165"/>
      <c r="AS73" s="165"/>
      <c r="AT73" s="165"/>
      <c r="AU73" s="165"/>
      <c r="AV73" s="165"/>
      <c r="AW73" s="165"/>
      <c r="AX73" s="165"/>
      <c r="AY73" s="165"/>
      <c r="AZ73" s="165"/>
      <c r="BA73" s="165"/>
      <c r="BB73" s="165"/>
      <c r="BC73" s="165"/>
      <c r="BD73" s="165"/>
      <c r="BE73" s="165"/>
      <c r="BF73" s="165"/>
      <c r="BG73" s="165"/>
      <c r="BH73" s="165"/>
      <c r="BI73" s="165"/>
      <c r="BJ73" s="165"/>
      <c r="BK73" s="165"/>
      <c r="BL73" s="165"/>
      <c r="BM73" s="165"/>
      <c r="BN73" s="165"/>
      <c r="BO73" s="165"/>
      <c r="BP73" s="165"/>
      <c r="BQ73" s="165"/>
      <c r="BR73" s="165"/>
      <c r="BS73" s="165"/>
      <c r="BT73" s="165"/>
      <c r="BU73" s="165"/>
      <c r="BV73" s="165"/>
      <c r="BW73" s="165"/>
      <c r="BX73" s="165"/>
      <c r="BY73" s="165"/>
      <c r="BZ73" s="165"/>
      <c r="CA73" s="165"/>
      <c r="CB73" s="165"/>
      <c r="CC73" s="165"/>
      <c r="CD73" s="165"/>
      <c r="CE73" s="165"/>
      <c r="CF73" s="165"/>
      <c r="CG73" s="165"/>
      <c r="CH73" s="165"/>
      <c r="CI73" s="165"/>
      <c r="CJ73" s="165"/>
      <c r="CK73" s="165"/>
      <c r="CL73" s="165"/>
      <c r="CM73" s="165"/>
      <c r="CN73" s="165"/>
      <c r="CO73" s="165"/>
      <c r="CP73" s="165"/>
      <c r="CQ73" s="165"/>
      <c r="CR73" s="165"/>
      <c r="CS73" s="165"/>
      <c r="CT73" s="165"/>
      <c r="CU73" s="165"/>
      <c r="CV73" s="165"/>
      <c r="CW73" s="165"/>
      <c r="CX73" s="165"/>
      <c r="CY73" s="165"/>
      <c r="CZ73" s="165"/>
      <c r="DA73" s="165"/>
      <c r="DB73" s="165"/>
      <c r="DC73" s="165"/>
      <c r="DD73" s="165"/>
      <c r="DE73" s="165"/>
      <c r="DF73" s="165"/>
      <c r="DG73" s="165"/>
      <c r="DH73" s="165"/>
      <c r="DI73" s="165"/>
      <c r="DJ73" s="165"/>
      <c r="DK73" s="165"/>
      <c r="DL73" s="165"/>
      <c r="DM73" s="165"/>
      <c r="DN73" s="165"/>
      <c r="DO73" s="165"/>
      <c r="DP73" s="165"/>
      <c r="DQ73" s="165"/>
      <c r="DR73" s="165"/>
      <c r="DS73" s="165"/>
      <c r="DT73" s="165"/>
      <c r="DU73" s="165"/>
      <c r="DV73" s="165"/>
      <c r="DW73" s="165"/>
      <c r="DX73" s="165"/>
      <c r="DY73" s="165"/>
      <c r="DZ73" s="165"/>
      <c r="EA73" s="165"/>
      <c r="EB73" s="165"/>
      <c r="EC73" s="165"/>
      <c r="ED73" s="165"/>
      <c r="EE73" s="165"/>
      <c r="EF73" s="165"/>
      <c r="EG73" s="165"/>
      <c r="EH73" s="165"/>
      <c r="EI73" s="165"/>
      <c r="EJ73" s="165"/>
      <c r="EK73" s="165"/>
      <c r="EL73" s="165"/>
      <c r="EM73" s="165"/>
      <c r="EN73" s="165"/>
      <c r="EO73" s="165"/>
      <c r="EP73" s="165"/>
      <c r="EQ73" s="165"/>
      <c r="ER73" s="165"/>
      <c r="ES73" s="165"/>
    </row>
    <row r="74" spans="1:149" s="172" customFormat="1" x14ac:dyDescent="0.25">
      <c r="A74" s="167"/>
      <c r="B74" s="173"/>
      <c r="C74" s="173"/>
      <c r="D74" s="173"/>
      <c r="E74" s="173"/>
      <c r="F74" s="173"/>
      <c r="G74" s="173"/>
      <c r="H74" s="173"/>
      <c r="I74" s="173"/>
      <c r="J74" s="173"/>
      <c r="K74" s="173"/>
      <c r="L74" s="173"/>
      <c r="M74" s="173"/>
      <c r="N74" s="169"/>
      <c r="O74" s="169"/>
      <c r="P74" s="169"/>
      <c r="Q74" s="169"/>
      <c r="R74" s="169"/>
      <c r="S74" s="169"/>
      <c r="T74" s="169"/>
      <c r="U74" s="169"/>
      <c r="V74" s="169"/>
      <c r="W74" s="165"/>
      <c r="X74" s="165"/>
      <c r="Y74" s="165" t="s">
        <v>767</v>
      </c>
      <c r="Z74" s="165"/>
      <c r="AA74" s="165"/>
      <c r="AB74" s="165"/>
      <c r="AC74" s="165"/>
      <c r="AD74" s="165"/>
      <c r="AE74" s="165"/>
      <c r="AG74" s="165"/>
      <c r="AH74" s="165"/>
      <c r="AI74" s="165"/>
      <c r="AJ74" s="165"/>
      <c r="AK74" s="165"/>
      <c r="AL74" s="165"/>
      <c r="AM74" s="165"/>
      <c r="AN74" s="165"/>
      <c r="AO74" s="165"/>
      <c r="AP74" s="165"/>
      <c r="AQ74" s="165"/>
      <c r="AR74" s="165"/>
      <c r="AS74" s="165"/>
      <c r="AT74" s="165"/>
      <c r="AU74" s="165"/>
      <c r="AV74" s="165"/>
      <c r="AW74" s="165"/>
      <c r="AX74" s="165"/>
      <c r="AY74" s="165"/>
      <c r="AZ74" s="165"/>
      <c r="BA74" s="165"/>
      <c r="BB74" s="165"/>
      <c r="BC74" s="165"/>
      <c r="BD74" s="165"/>
      <c r="BE74" s="165"/>
      <c r="BF74" s="165"/>
      <c r="BG74" s="165"/>
      <c r="BH74" s="165"/>
      <c r="BI74" s="165"/>
      <c r="BJ74" s="165"/>
      <c r="BK74" s="165"/>
      <c r="BL74" s="165"/>
      <c r="BM74" s="165"/>
      <c r="BN74" s="165"/>
      <c r="BO74" s="165"/>
      <c r="BP74" s="165"/>
      <c r="BQ74" s="165"/>
      <c r="BR74" s="165"/>
      <c r="BS74" s="165"/>
      <c r="BT74" s="165"/>
      <c r="BU74" s="165"/>
      <c r="BV74" s="165"/>
      <c r="BW74" s="165"/>
      <c r="BX74" s="165"/>
      <c r="BY74" s="165"/>
      <c r="BZ74" s="165"/>
      <c r="CA74" s="165"/>
      <c r="CB74" s="165"/>
      <c r="CC74" s="165"/>
      <c r="CD74" s="165"/>
      <c r="CE74" s="165"/>
      <c r="CF74" s="165"/>
      <c r="CG74" s="165"/>
      <c r="CH74" s="165"/>
      <c r="CI74" s="165"/>
      <c r="CJ74" s="165"/>
      <c r="CK74" s="165"/>
      <c r="CL74" s="165"/>
      <c r="CM74" s="165"/>
      <c r="CN74" s="165"/>
      <c r="CO74" s="165"/>
      <c r="CP74" s="165"/>
      <c r="CQ74" s="165"/>
      <c r="CR74" s="165"/>
      <c r="CS74" s="165"/>
      <c r="CT74" s="165"/>
      <c r="CU74" s="165"/>
      <c r="CV74" s="165"/>
      <c r="CW74" s="165"/>
      <c r="CX74" s="165"/>
      <c r="CY74" s="165"/>
      <c r="CZ74" s="165"/>
      <c r="DA74" s="165"/>
      <c r="DB74" s="165"/>
      <c r="DC74" s="165"/>
      <c r="DD74" s="165"/>
      <c r="DE74" s="165"/>
      <c r="DF74" s="165"/>
      <c r="DG74" s="165"/>
      <c r="DH74" s="165"/>
      <c r="DI74" s="165"/>
      <c r="DJ74" s="165"/>
      <c r="DK74" s="165"/>
      <c r="DL74" s="165"/>
      <c r="DM74" s="165"/>
      <c r="DN74" s="165"/>
      <c r="DO74" s="165"/>
      <c r="DP74" s="165"/>
      <c r="DQ74" s="165"/>
      <c r="DR74" s="165"/>
      <c r="DS74" s="165"/>
      <c r="DT74" s="165"/>
      <c r="DU74" s="165"/>
      <c r="DV74" s="165"/>
      <c r="DW74" s="165"/>
      <c r="DX74" s="165"/>
      <c r="DY74" s="165"/>
      <c r="DZ74" s="165"/>
      <c r="EA74" s="165"/>
      <c r="EB74" s="165"/>
      <c r="EC74" s="165"/>
      <c r="ED74" s="165"/>
      <c r="EE74" s="165"/>
      <c r="EF74" s="165"/>
      <c r="EG74" s="165"/>
      <c r="EH74" s="165"/>
      <c r="EI74" s="165"/>
      <c r="EJ74" s="165"/>
      <c r="EK74" s="165"/>
      <c r="EL74" s="165"/>
      <c r="EM74" s="165"/>
      <c r="EN74" s="165"/>
      <c r="EO74" s="165"/>
      <c r="EP74" s="165"/>
      <c r="EQ74" s="165"/>
      <c r="ER74" s="165"/>
      <c r="ES74" s="165"/>
    </row>
    <row r="75" spans="1:149" s="172" customFormat="1" x14ac:dyDescent="0.25">
      <c r="A75" s="171"/>
      <c r="B75" s="170"/>
      <c r="C75" s="170"/>
      <c r="D75" s="170"/>
      <c r="E75" s="170"/>
      <c r="F75" s="170"/>
      <c r="G75" s="170"/>
      <c r="H75" s="170"/>
      <c r="I75" s="170"/>
      <c r="J75" s="170"/>
      <c r="K75" s="168"/>
      <c r="L75" s="168"/>
      <c r="M75" s="168"/>
      <c r="N75" s="168"/>
      <c r="O75" s="168"/>
      <c r="P75" s="168"/>
      <c r="Q75" s="169"/>
      <c r="R75" s="169"/>
      <c r="S75" s="169"/>
      <c r="T75" s="169"/>
      <c r="U75" s="169"/>
      <c r="V75" s="169"/>
      <c r="W75" s="165"/>
      <c r="X75" s="165"/>
      <c r="Y75" s="165" t="s">
        <v>766</v>
      </c>
      <c r="Z75" s="165"/>
      <c r="AA75" s="165"/>
      <c r="AB75" s="165"/>
      <c r="AC75" s="165"/>
      <c r="AD75" s="165"/>
      <c r="AE75" s="165"/>
      <c r="AG75" s="165"/>
      <c r="AH75" s="165"/>
      <c r="AI75" s="165"/>
      <c r="AJ75" s="165"/>
      <c r="AK75" s="165"/>
      <c r="AL75" s="165"/>
      <c r="AM75" s="165"/>
      <c r="AN75" s="165"/>
      <c r="AO75" s="165"/>
      <c r="AP75" s="165"/>
      <c r="AQ75" s="165"/>
      <c r="AR75" s="165"/>
      <c r="AS75" s="165"/>
      <c r="AT75" s="165"/>
      <c r="AU75" s="165"/>
      <c r="AV75" s="165"/>
      <c r="AW75" s="165"/>
      <c r="AX75" s="165"/>
      <c r="AY75" s="165"/>
      <c r="AZ75" s="165"/>
      <c r="BA75" s="165"/>
      <c r="BB75" s="165"/>
      <c r="BC75" s="165"/>
      <c r="BD75" s="165"/>
      <c r="BE75" s="165"/>
      <c r="BF75" s="165"/>
      <c r="BG75" s="165"/>
      <c r="BH75" s="165"/>
      <c r="BI75" s="165"/>
      <c r="BJ75" s="165"/>
      <c r="BK75" s="165"/>
      <c r="BL75" s="165"/>
      <c r="BM75" s="165"/>
      <c r="BN75" s="165"/>
      <c r="BO75" s="165"/>
      <c r="BP75" s="165"/>
      <c r="BQ75" s="165"/>
      <c r="BR75" s="165"/>
      <c r="BS75" s="165"/>
      <c r="BT75" s="165"/>
      <c r="BU75" s="165"/>
      <c r="BV75" s="165"/>
      <c r="BW75" s="165"/>
      <c r="BX75" s="165"/>
      <c r="BY75" s="165"/>
      <c r="BZ75" s="165"/>
      <c r="CA75" s="165"/>
      <c r="CB75" s="165"/>
      <c r="CC75" s="165"/>
      <c r="CD75" s="165"/>
      <c r="CE75" s="165"/>
      <c r="CF75" s="165"/>
      <c r="CG75" s="165"/>
      <c r="CH75" s="165"/>
      <c r="CI75" s="165"/>
      <c r="CJ75" s="165"/>
      <c r="CK75" s="165"/>
      <c r="CL75" s="165"/>
      <c r="CM75" s="165"/>
      <c r="CN75" s="165"/>
      <c r="CO75" s="165"/>
      <c r="CP75" s="165"/>
      <c r="CQ75" s="165"/>
      <c r="CR75" s="165"/>
      <c r="CS75" s="165"/>
      <c r="CT75" s="165"/>
      <c r="CU75" s="165"/>
      <c r="CV75" s="165"/>
      <c r="CW75" s="165"/>
      <c r="CX75" s="165"/>
      <c r="CY75" s="165"/>
      <c r="CZ75" s="165"/>
      <c r="DA75" s="165"/>
      <c r="DB75" s="165"/>
      <c r="DC75" s="165"/>
      <c r="DD75" s="165"/>
      <c r="DE75" s="165"/>
      <c r="DF75" s="165"/>
      <c r="DG75" s="165"/>
      <c r="DH75" s="165"/>
      <c r="DI75" s="165"/>
      <c r="DJ75" s="165"/>
      <c r="DK75" s="165"/>
      <c r="DL75" s="165"/>
      <c r="DM75" s="165"/>
      <c r="DN75" s="165"/>
      <c r="DO75" s="165"/>
      <c r="DP75" s="165"/>
      <c r="DQ75" s="165"/>
      <c r="DR75" s="165"/>
      <c r="DS75" s="165"/>
      <c r="DT75" s="165"/>
      <c r="DU75" s="165"/>
      <c r="DV75" s="165"/>
      <c r="DW75" s="165"/>
      <c r="DX75" s="165"/>
      <c r="DY75" s="165"/>
      <c r="DZ75" s="165"/>
      <c r="EA75" s="165"/>
      <c r="EB75" s="165"/>
      <c r="EC75" s="165"/>
      <c r="ED75" s="165"/>
      <c r="EE75" s="165"/>
      <c r="EF75" s="165"/>
      <c r="EG75" s="165"/>
      <c r="EH75" s="165"/>
      <c r="EI75" s="165"/>
      <c r="EJ75" s="165"/>
      <c r="EK75" s="165"/>
      <c r="EL75" s="165"/>
      <c r="EM75" s="165"/>
      <c r="EN75" s="165"/>
      <c r="EO75" s="165"/>
      <c r="EP75" s="165"/>
      <c r="EQ75" s="165"/>
      <c r="ER75" s="165"/>
      <c r="ES75" s="165"/>
    </row>
    <row r="76" spans="1:149" x14ac:dyDescent="0.25">
      <c r="A76" s="171"/>
      <c r="B76" s="170"/>
      <c r="C76" s="170"/>
      <c r="D76" s="170"/>
      <c r="E76" s="170"/>
      <c r="F76" s="170"/>
      <c r="G76" s="170"/>
      <c r="H76" s="170"/>
      <c r="I76" s="170"/>
      <c r="J76" s="170"/>
      <c r="K76" s="168"/>
      <c r="L76" s="168"/>
      <c r="M76" s="168"/>
      <c r="N76" s="169"/>
      <c r="O76" s="169"/>
      <c r="P76" s="169"/>
      <c r="Q76" s="168"/>
      <c r="R76" s="168"/>
      <c r="S76" s="168"/>
      <c r="T76" s="168"/>
      <c r="U76" s="168"/>
      <c r="V76" s="168"/>
      <c r="Y76" s="165" t="s">
        <v>765</v>
      </c>
    </row>
    <row r="77" spans="1:149" s="172" customFormat="1" x14ac:dyDescent="0.25">
      <c r="A77" s="171"/>
      <c r="B77" s="170"/>
      <c r="C77" s="170"/>
      <c r="D77" s="170"/>
      <c r="E77" s="170"/>
      <c r="F77" s="170"/>
      <c r="G77" s="170"/>
      <c r="H77" s="170"/>
      <c r="I77" s="170"/>
      <c r="J77" s="170"/>
      <c r="K77" s="168"/>
      <c r="L77" s="168"/>
      <c r="M77" s="168"/>
      <c r="N77" s="169"/>
      <c r="O77" s="169"/>
      <c r="P77" s="169"/>
      <c r="Q77" s="168"/>
      <c r="R77" s="168"/>
      <c r="S77" s="168"/>
      <c r="T77" s="168"/>
      <c r="U77" s="168"/>
      <c r="V77" s="168"/>
      <c r="W77" s="165"/>
      <c r="X77" s="165"/>
      <c r="Y77" s="165" t="s">
        <v>764</v>
      </c>
      <c r="Z77" s="165"/>
      <c r="AA77" s="165"/>
      <c r="AB77" s="165"/>
      <c r="AC77" s="165"/>
      <c r="AD77" s="165"/>
      <c r="AE77" s="165"/>
      <c r="AG77" s="165"/>
      <c r="AH77" s="165"/>
      <c r="AI77" s="165"/>
      <c r="AJ77" s="165"/>
      <c r="AK77" s="165"/>
      <c r="AL77" s="165"/>
      <c r="AM77" s="165"/>
      <c r="AN77" s="165"/>
      <c r="AO77" s="165"/>
      <c r="AP77" s="165"/>
      <c r="AQ77" s="165"/>
      <c r="AR77" s="165"/>
      <c r="AS77" s="165"/>
      <c r="AT77" s="165"/>
      <c r="AU77" s="165"/>
      <c r="AV77" s="165"/>
      <c r="AW77" s="165"/>
      <c r="AX77" s="165"/>
      <c r="AY77" s="165"/>
      <c r="AZ77" s="165"/>
      <c r="BA77" s="165"/>
      <c r="BB77" s="165"/>
      <c r="BC77" s="165"/>
      <c r="BD77" s="165"/>
      <c r="BE77" s="165"/>
      <c r="BF77" s="165"/>
      <c r="BG77" s="165"/>
      <c r="BH77" s="165"/>
      <c r="BI77" s="165"/>
      <c r="BJ77" s="165"/>
      <c r="BK77" s="165"/>
      <c r="BL77" s="165"/>
      <c r="BM77" s="165"/>
      <c r="BN77" s="165"/>
      <c r="BO77" s="165"/>
      <c r="BP77" s="165"/>
      <c r="BQ77" s="165"/>
      <c r="BR77" s="165"/>
      <c r="BS77" s="165"/>
      <c r="BT77" s="165"/>
      <c r="BU77" s="165"/>
      <c r="BV77" s="165"/>
      <c r="BW77" s="165"/>
      <c r="BX77" s="165"/>
      <c r="BY77" s="165"/>
      <c r="BZ77" s="165"/>
      <c r="CA77" s="165"/>
      <c r="CB77" s="165"/>
      <c r="CC77" s="165"/>
      <c r="CD77" s="165"/>
      <c r="CE77" s="165"/>
      <c r="CF77" s="165"/>
      <c r="CG77" s="165"/>
      <c r="CH77" s="165"/>
      <c r="CI77" s="165"/>
      <c r="CJ77" s="165"/>
      <c r="CK77" s="165"/>
      <c r="CL77" s="165"/>
      <c r="CM77" s="165"/>
      <c r="CN77" s="165"/>
      <c r="CO77" s="165"/>
      <c r="CP77" s="165"/>
      <c r="CQ77" s="165"/>
      <c r="CR77" s="165"/>
      <c r="CS77" s="165"/>
      <c r="CT77" s="165"/>
      <c r="CU77" s="165"/>
      <c r="CV77" s="165"/>
      <c r="CW77" s="165"/>
      <c r="CX77" s="165"/>
      <c r="CY77" s="165"/>
      <c r="CZ77" s="165"/>
      <c r="DA77" s="165"/>
      <c r="DB77" s="165"/>
      <c r="DC77" s="165"/>
      <c r="DD77" s="165"/>
      <c r="DE77" s="165"/>
      <c r="DF77" s="165"/>
      <c r="DG77" s="165"/>
      <c r="DH77" s="165"/>
      <c r="DI77" s="165"/>
      <c r="DJ77" s="165"/>
      <c r="DK77" s="165"/>
      <c r="DL77" s="165"/>
      <c r="DM77" s="165"/>
      <c r="DN77" s="165"/>
      <c r="DO77" s="165"/>
      <c r="DP77" s="165"/>
      <c r="DQ77" s="165"/>
      <c r="DR77" s="165"/>
      <c r="DS77" s="165"/>
      <c r="DT77" s="165"/>
      <c r="DU77" s="165"/>
      <c r="DV77" s="165"/>
      <c r="DW77" s="165"/>
      <c r="DX77" s="165"/>
      <c r="DY77" s="165"/>
      <c r="DZ77" s="165"/>
      <c r="EA77" s="165"/>
      <c r="EB77" s="165"/>
      <c r="EC77" s="165"/>
      <c r="ED77" s="165"/>
      <c r="EE77" s="165"/>
      <c r="EF77" s="165"/>
      <c r="EG77" s="165"/>
      <c r="EH77" s="165"/>
      <c r="EI77" s="165"/>
      <c r="EJ77" s="165"/>
      <c r="EK77" s="165"/>
      <c r="EL77" s="165"/>
      <c r="EM77" s="165"/>
      <c r="EN77" s="165"/>
      <c r="EO77" s="165"/>
      <c r="EP77" s="165"/>
      <c r="EQ77" s="165"/>
      <c r="ER77" s="165"/>
      <c r="ES77" s="165"/>
    </row>
    <row r="78" spans="1:149" x14ac:dyDescent="0.25">
      <c r="A78" s="171"/>
      <c r="B78" s="170"/>
      <c r="C78" s="170"/>
      <c r="D78" s="170"/>
      <c r="E78" s="170"/>
      <c r="F78" s="170"/>
      <c r="G78" s="170"/>
      <c r="H78" s="170"/>
      <c r="I78" s="170"/>
      <c r="J78" s="170"/>
      <c r="K78" s="168"/>
      <c r="L78" s="168"/>
      <c r="M78" s="168"/>
      <c r="N78" s="169"/>
      <c r="O78" s="169"/>
      <c r="P78" s="169"/>
      <c r="Q78" s="168"/>
      <c r="R78" s="168"/>
      <c r="S78" s="168"/>
      <c r="T78" s="168"/>
      <c r="U78" s="168"/>
      <c r="V78" s="168"/>
      <c r="Y78" s="165" t="s">
        <v>763</v>
      </c>
    </row>
    <row r="79" spans="1:149" x14ac:dyDescent="0.25">
      <c r="A79" s="167"/>
      <c r="B79" s="166"/>
      <c r="C79" s="166"/>
      <c r="D79" s="166"/>
      <c r="E79" s="166"/>
      <c r="F79" s="166"/>
      <c r="G79" s="166"/>
      <c r="H79" s="166"/>
      <c r="I79" s="166"/>
      <c r="J79" s="166"/>
      <c r="K79" s="166"/>
      <c r="L79" s="166"/>
      <c r="M79" s="166"/>
      <c r="N79" s="166"/>
      <c r="O79" s="166"/>
      <c r="P79" s="166"/>
      <c r="Q79" s="166"/>
      <c r="R79" s="166"/>
      <c r="S79" s="166"/>
      <c r="T79" s="166"/>
      <c r="U79" s="166"/>
      <c r="V79" s="166"/>
      <c r="Y79" s="165" t="s">
        <v>762</v>
      </c>
    </row>
    <row r="80" spans="1:149" x14ac:dyDescent="0.25">
      <c r="A80" s="166"/>
      <c r="B80" s="166"/>
      <c r="C80" s="166"/>
      <c r="D80" s="166"/>
      <c r="E80" s="166"/>
      <c r="F80" s="166"/>
      <c r="G80" s="166"/>
      <c r="H80" s="166"/>
      <c r="I80" s="166"/>
      <c r="J80" s="166"/>
      <c r="K80" s="166"/>
      <c r="L80" s="166"/>
      <c r="M80" s="166"/>
      <c r="N80" s="166"/>
      <c r="O80" s="166"/>
      <c r="P80" s="166"/>
      <c r="Q80" s="166"/>
      <c r="R80" s="166"/>
      <c r="S80" s="166"/>
      <c r="T80" s="166"/>
      <c r="U80" s="166"/>
      <c r="V80" s="166"/>
      <c r="Y80" s="165" t="s">
        <v>761</v>
      </c>
    </row>
    <row r="81" spans="1:25" x14ac:dyDescent="0.25">
      <c r="A81" s="166"/>
      <c r="B81" s="166"/>
      <c r="C81" s="166"/>
      <c r="D81" s="166"/>
      <c r="E81" s="166"/>
      <c r="F81" s="166"/>
      <c r="G81" s="166"/>
      <c r="H81" s="166"/>
      <c r="I81" s="166"/>
      <c r="J81" s="166"/>
      <c r="K81" s="166"/>
      <c r="L81" s="166"/>
      <c r="M81" s="166"/>
      <c r="N81" s="166"/>
      <c r="O81" s="166"/>
      <c r="P81" s="166"/>
      <c r="Q81" s="166"/>
      <c r="R81" s="166"/>
      <c r="S81" s="166"/>
      <c r="T81" s="166"/>
      <c r="U81" s="166"/>
      <c r="V81" s="166"/>
      <c r="Y81" s="165" t="s">
        <v>760</v>
      </c>
    </row>
    <row r="82" spans="1:25" x14ac:dyDescent="0.25">
      <c r="A82" s="166"/>
      <c r="B82" s="166"/>
      <c r="C82" s="166"/>
      <c r="D82" s="166"/>
      <c r="E82" s="166"/>
      <c r="F82" s="166"/>
      <c r="G82" s="166"/>
      <c r="H82" s="166"/>
      <c r="I82" s="166"/>
      <c r="J82" s="166"/>
      <c r="K82" s="166"/>
      <c r="L82" s="166"/>
      <c r="M82" s="166"/>
      <c r="N82" s="166"/>
      <c r="O82" s="166"/>
      <c r="P82" s="166"/>
      <c r="Q82" s="166"/>
      <c r="R82" s="166"/>
      <c r="S82" s="166"/>
      <c r="T82" s="166"/>
      <c r="U82" s="166"/>
      <c r="V82" s="166"/>
      <c r="Y82" s="165" t="s">
        <v>759</v>
      </c>
    </row>
    <row r="83" spans="1:25" x14ac:dyDescent="0.25">
      <c r="A83" s="166"/>
      <c r="B83" s="166"/>
      <c r="C83" s="166"/>
      <c r="D83" s="166"/>
      <c r="E83" s="166"/>
      <c r="F83" s="166"/>
      <c r="G83" s="166"/>
      <c r="H83" s="166"/>
      <c r="I83" s="166"/>
      <c r="J83" s="166"/>
      <c r="K83" s="166"/>
      <c r="L83" s="166"/>
      <c r="M83" s="166"/>
      <c r="N83" s="166"/>
      <c r="O83" s="166"/>
      <c r="P83" s="166"/>
      <c r="Q83" s="166"/>
      <c r="R83" s="166"/>
      <c r="S83" s="166"/>
      <c r="T83" s="166"/>
      <c r="U83" s="166"/>
      <c r="V83" s="166"/>
      <c r="Y83" s="165" t="s">
        <v>758</v>
      </c>
    </row>
    <row r="84" spans="1:25" x14ac:dyDescent="0.25">
      <c r="A84" s="166"/>
      <c r="B84" s="166"/>
      <c r="C84" s="166"/>
      <c r="D84" s="166"/>
      <c r="E84" s="166"/>
      <c r="F84" s="166"/>
      <c r="G84" s="166"/>
      <c r="H84" s="166"/>
      <c r="I84" s="166"/>
      <c r="J84" s="166"/>
      <c r="K84" s="166"/>
      <c r="L84" s="166"/>
      <c r="M84" s="166"/>
      <c r="N84" s="166"/>
      <c r="O84" s="166"/>
      <c r="P84" s="166"/>
      <c r="Q84" s="166"/>
      <c r="R84" s="166"/>
      <c r="S84" s="166"/>
      <c r="T84" s="166"/>
      <c r="U84" s="166"/>
      <c r="V84" s="166"/>
      <c r="Y84" s="165" t="s">
        <v>757</v>
      </c>
    </row>
    <row r="85" spans="1:25" x14ac:dyDescent="0.25">
      <c r="A85" s="166"/>
      <c r="B85" s="166"/>
      <c r="C85" s="166"/>
      <c r="D85" s="166"/>
      <c r="E85" s="166"/>
      <c r="F85" s="166"/>
      <c r="G85" s="166"/>
      <c r="H85" s="166"/>
      <c r="I85" s="166"/>
      <c r="J85" s="166"/>
      <c r="K85" s="166"/>
      <c r="L85" s="166"/>
      <c r="M85" s="166"/>
      <c r="N85" s="166"/>
      <c r="O85" s="166"/>
      <c r="P85" s="166"/>
      <c r="Q85" s="166"/>
      <c r="R85" s="166"/>
      <c r="S85" s="166"/>
      <c r="T85" s="166"/>
      <c r="U85" s="166"/>
      <c r="V85" s="166"/>
      <c r="Y85" s="165" t="s">
        <v>756</v>
      </c>
    </row>
    <row r="86" spans="1:25" x14ac:dyDescent="0.25">
      <c r="A86" s="166"/>
      <c r="B86" s="166"/>
      <c r="C86" s="166"/>
      <c r="D86" s="166"/>
      <c r="E86" s="166"/>
      <c r="F86" s="166"/>
      <c r="G86" s="166"/>
      <c r="H86" s="166"/>
      <c r="I86" s="166"/>
      <c r="J86" s="166"/>
      <c r="K86" s="166"/>
      <c r="L86" s="166"/>
      <c r="M86" s="166"/>
      <c r="N86" s="166"/>
      <c r="O86" s="166"/>
      <c r="P86" s="166"/>
      <c r="Q86" s="166"/>
      <c r="R86" s="166"/>
      <c r="S86" s="166"/>
      <c r="T86" s="166"/>
      <c r="U86" s="166"/>
      <c r="V86" s="166"/>
      <c r="Y86" s="165" t="s">
        <v>755</v>
      </c>
    </row>
    <row r="87" spans="1:25" x14ac:dyDescent="0.25">
      <c r="Y87" s="165" t="s">
        <v>754</v>
      </c>
    </row>
    <row r="88" spans="1:25" x14ac:dyDescent="0.25">
      <c r="Y88" s="165" t="s">
        <v>753</v>
      </c>
    </row>
    <row r="89" spans="1:25" x14ac:dyDescent="0.25">
      <c r="Y89" s="165" t="s">
        <v>752</v>
      </c>
    </row>
    <row r="90" spans="1:25" x14ac:dyDescent="0.25">
      <c r="Y90" s="165" t="s">
        <v>751</v>
      </c>
    </row>
    <row r="91" spans="1:25" x14ac:dyDescent="0.25">
      <c r="Y91" s="165" t="s">
        <v>750</v>
      </c>
    </row>
    <row r="92" spans="1:25" x14ac:dyDescent="0.25">
      <c r="Y92" s="165" t="s">
        <v>749</v>
      </c>
    </row>
    <row r="93" spans="1:25" x14ac:dyDescent="0.25">
      <c r="Y93" s="165" t="s">
        <v>748</v>
      </c>
    </row>
    <row r="94" spans="1:25" x14ac:dyDescent="0.25">
      <c r="Y94" s="165" t="s">
        <v>747</v>
      </c>
    </row>
    <row r="95" spans="1:25" x14ac:dyDescent="0.25">
      <c r="Y95" s="165" t="s">
        <v>746</v>
      </c>
    </row>
    <row r="96" spans="1:25" x14ac:dyDescent="0.25">
      <c r="Y96" s="165" t="s">
        <v>745</v>
      </c>
    </row>
    <row r="97" spans="25:25" x14ac:dyDescent="0.25">
      <c r="Y97" s="165" t="s">
        <v>744</v>
      </c>
    </row>
    <row r="98" spans="25:25" x14ac:dyDescent="0.25">
      <c r="Y98" s="165" t="s">
        <v>743</v>
      </c>
    </row>
    <row r="99" spans="25:25" x14ac:dyDescent="0.25">
      <c r="Y99" s="165" t="s">
        <v>742</v>
      </c>
    </row>
    <row r="100" spans="25:25" x14ac:dyDescent="0.25">
      <c r="Y100" s="165" t="s">
        <v>741</v>
      </c>
    </row>
    <row r="101" spans="25:25" x14ac:dyDescent="0.25">
      <c r="Y101" s="165" t="s">
        <v>740</v>
      </c>
    </row>
    <row r="102" spans="25:25" x14ac:dyDescent="0.25">
      <c r="Y102" s="165" t="s">
        <v>739</v>
      </c>
    </row>
    <row r="103" spans="25:25" x14ac:dyDescent="0.25">
      <c r="Y103" s="165" t="s">
        <v>738</v>
      </c>
    </row>
    <row r="104" spans="25:25" x14ac:dyDescent="0.25">
      <c r="Y104" s="165" t="s">
        <v>737</v>
      </c>
    </row>
    <row r="105" spans="25:25" x14ac:dyDescent="0.25">
      <c r="Y105" s="165" t="s">
        <v>736</v>
      </c>
    </row>
  </sheetData>
  <mergeCells count="12">
    <mergeCell ref="A6:A8"/>
    <mergeCell ref="B6:M6"/>
    <mergeCell ref="N6:P6"/>
    <mergeCell ref="F25:G25"/>
    <mergeCell ref="Q7:S7"/>
    <mergeCell ref="T7:V7"/>
    <mergeCell ref="Q6:V6"/>
    <mergeCell ref="B7:D7"/>
    <mergeCell ref="E7:G7"/>
    <mergeCell ref="H7:J7"/>
    <mergeCell ref="K7:M7"/>
    <mergeCell ref="N7:P7"/>
  </mergeCells>
  <pageMargins left="0.7" right="0.7" top="0.75" bottom="0.75" header="0.3" footer="0.3"/>
  <pageSetup orientation="portrait" horizontalDpi="1200" verticalDpi="1200" r:id="rId1"/>
  <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G231"/>
  <sheetViews>
    <sheetView zoomScaleNormal="100" workbookViewId="0">
      <selection activeCell="F28" sqref="F28"/>
    </sheetView>
  </sheetViews>
  <sheetFormatPr defaultRowHeight="12.75" x14ac:dyDescent="0.2"/>
  <cols>
    <col min="1" max="1" width="31.28515625" style="13" customWidth="1"/>
    <col min="2" max="2" width="39.42578125" style="13" customWidth="1"/>
    <col min="3" max="3" width="57.5703125" style="13" bestFit="1" customWidth="1"/>
    <col min="4" max="4" width="43.85546875" style="13" customWidth="1"/>
    <col min="5" max="5" width="61.85546875" style="103" bestFit="1" customWidth="1"/>
    <col min="6" max="6" width="22.42578125" style="13" bestFit="1" customWidth="1"/>
    <col min="7" max="7" width="23.28515625" bestFit="1" customWidth="1"/>
  </cols>
  <sheetData>
    <row r="1" spans="1:6" s="11" customFormat="1" x14ac:dyDescent="0.2">
      <c r="A1" s="13"/>
      <c r="B1" s="13"/>
      <c r="C1" s="13"/>
      <c r="D1" s="13"/>
      <c r="E1" s="103"/>
      <c r="F1" s="13"/>
    </row>
    <row r="2" spans="1:6" s="11" customFormat="1" x14ac:dyDescent="0.2">
      <c r="A2" s="13"/>
      <c r="B2" s="13"/>
      <c r="C2" s="13"/>
      <c r="D2" s="13"/>
      <c r="E2" s="103"/>
      <c r="F2" s="13"/>
    </row>
    <row r="3" spans="1:6" s="11" customFormat="1" ht="13.5" thickBot="1" x14ac:dyDescent="0.25">
      <c r="A3" s="13"/>
      <c r="B3" s="13"/>
      <c r="C3" s="13"/>
      <c r="D3" s="13"/>
      <c r="E3" s="103"/>
      <c r="F3" s="13"/>
    </row>
    <row r="4" spans="1:6" x14ac:dyDescent="0.2">
      <c r="A4" s="401" t="s">
        <v>620</v>
      </c>
      <c r="B4" s="408" t="s">
        <v>59</v>
      </c>
      <c r="C4" s="104" t="s">
        <v>60</v>
      </c>
      <c r="D4" s="105"/>
      <c r="E4" s="262" t="s">
        <v>202</v>
      </c>
    </row>
    <row r="5" spans="1:6" ht="15.75" customHeight="1" x14ac:dyDescent="0.2">
      <c r="A5" s="402"/>
      <c r="B5" s="278"/>
      <c r="C5" s="404" t="s">
        <v>61</v>
      </c>
      <c r="D5" s="106" t="s">
        <v>215</v>
      </c>
      <c r="E5" s="263" t="s">
        <v>202</v>
      </c>
    </row>
    <row r="6" spans="1:6" ht="15.75" customHeight="1" x14ac:dyDescent="0.2">
      <c r="A6" s="402"/>
      <c r="B6" s="278"/>
      <c r="C6" s="404"/>
      <c r="D6" s="106" t="s">
        <v>216</v>
      </c>
      <c r="E6" s="263"/>
    </row>
    <row r="7" spans="1:6" ht="15.75" customHeight="1" x14ac:dyDescent="0.2">
      <c r="A7" s="402"/>
      <c r="B7" s="278"/>
      <c r="C7" s="404"/>
      <c r="D7" s="99" t="s">
        <v>217</v>
      </c>
      <c r="E7" s="263"/>
    </row>
    <row r="8" spans="1:6" x14ac:dyDescent="0.2">
      <c r="A8" s="402"/>
      <c r="B8" s="278"/>
      <c r="C8" s="278" t="s">
        <v>62</v>
      </c>
      <c r="D8" s="278"/>
      <c r="E8" s="263"/>
    </row>
    <row r="9" spans="1:6" x14ac:dyDescent="0.2">
      <c r="A9" s="402"/>
      <c r="B9" s="278"/>
      <c r="C9" s="404" t="s">
        <v>63</v>
      </c>
      <c r="D9" s="108" t="s">
        <v>64</v>
      </c>
      <c r="E9" s="263" t="s">
        <v>202</v>
      </c>
    </row>
    <row r="10" spans="1:6" x14ac:dyDescent="0.2">
      <c r="A10" s="402"/>
      <c r="B10" s="278"/>
      <c r="C10" s="405"/>
      <c r="D10" s="108" t="s">
        <v>65</v>
      </c>
      <c r="E10" s="264" t="s">
        <v>585</v>
      </c>
    </row>
    <row r="11" spans="1:6" x14ac:dyDescent="0.2">
      <c r="A11" s="402"/>
      <c r="B11" s="278"/>
      <c r="C11" s="405"/>
      <c r="D11" s="108" t="s">
        <v>66</v>
      </c>
      <c r="E11" s="264" t="s">
        <v>585</v>
      </c>
    </row>
    <row r="12" spans="1:6" x14ac:dyDescent="0.2">
      <c r="A12" s="402"/>
      <c r="B12" s="278"/>
      <c r="C12" s="278" t="s">
        <v>67</v>
      </c>
      <c r="D12" s="83" t="s">
        <v>68</v>
      </c>
      <c r="E12" s="264" t="s">
        <v>585</v>
      </c>
    </row>
    <row r="13" spans="1:6" x14ac:dyDescent="0.2">
      <c r="A13" s="402"/>
      <c r="B13" s="278"/>
      <c r="C13" s="282"/>
      <c r="D13" s="83" t="s">
        <v>69</v>
      </c>
      <c r="E13" s="264" t="s">
        <v>585</v>
      </c>
    </row>
    <row r="14" spans="1:6" x14ac:dyDescent="0.2">
      <c r="A14" s="402"/>
      <c r="B14" s="278"/>
      <c r="C14" s="282"/>
      <c r="D14" s="83" t="s">
        <v>70</v>
      </c>
      <c r="E14" s="263" t="s">
        <v>202</v>
      </c>
    </row>
    <row r="15" spans="1:6" x14ac:dyDescent="0.2">
      <c r="A15" s="402"/>
      <c r="B15" s="278"/>
      <c r="C15" s="404" t="s">
        <v>71</v>
      </c>
      <c r="D15" s="404"/>
      <c r="E15" s="264" t="s">
        <v>585</v>
      </c>
    </row>
    <row r="16" spans="1:6" x14ac:dyDescent="0.2">
      <c r="A16" s="402"/>
      <c r="B16" s="278"/>
      <c r="C16" s="278" t="s">
        <v>72</v>
      </c>
      <c r="D16" s="278"/>
      <c r="E16" s="264" t="s">
        <v>585</v>
      </c>
    </row>
    <row r="17" spans="1:5" x14ac:dyDescent="0.2">
      <c r="A17" s="402"/>
      <c r="B17" s="278"/>
      <c r="C17" s="404" t="s">
        <v>73</v>
      </c>
      <c r="D17" s="108" t="s">
        <v>213</v>
      </c>
      <c r="E17" s="264" t="s">
        <v>202</v>
      </c>
    </row>
    <row r="18" spans="1:5" x14ac:dyDescent="0.2">
      <c r="A18" s="402"/>
      <c r="B18" s="278"/>
      <c r="C18" s="404"/>
      <c r="D18" s="108" t="s">
        <v>214</v>
      </c>
      <c r="E18" s="264" t="s">
        <v>585</v>
      </c>
    </row>
    <row r="19" spans="1:5" x14ac:dyDescent="0.2">
      <c r="A19" s="402"/>
      <c r="B19" s="278"/>
      <c r="C19" s="278" t="s">
        <v>74</v>
      </c>
      <c r="D19" s="83" t="s">
        <v>68</v>
      </c>
      <c r="E19" s="264" t="s">
        <v>585</v>
      </c>
    </row>
    <row r="20" spans="1:5" x14ac:dyDescent="0.2">
      <c r="A20" s="402"/>
      <c r="B20" s="278"/>
      <c r="C20" s="282"/>
      <c r="D20" s="83" t="s">
        <v>69</v>
      </c>
      <c r="E20" s="264" t="s">
        <v>585</v>
      </c>
    </row>
    <row r="21" spans="1:5" x14ac:dyDescent="0.2">
      <c r="A21" s="402"/>
      <c r="B21" s="278"/>
      <c r="C21" s="404" t="s">
        <v>75</v>
      </c>
      <c r="D21" s="108" t="s">
        <v>68</v>
      </c>
      <c r="E21" s="264" t="s">
        <v>585</v>
      </c>
    </row>
    <row r="22" spans="1:5" x14ac:dyDescent="0.2">
      <c r="A22" s="402"/>
      <c r="B22" s="278"/>
      <c r="C22" s="405"/>
      <c r="D22" s="108" t="s">
        <v>76</v>
      </c>
      <c r="E22" s="263"/>
    </row>
    <row r="23" spans="1:5" x14ac:dyDescent="0.2">
      <c r="A23" s="402"/>
      <c r="B23" s="278"/>
      <c r="C23" s="405"/>
      <c r="D23" s="108" t="s">
        <v>77</v>
      </c>
      <c r="E23" s="264" t="s">
        <v>585</v>
      </c>
    </row>
    <row r="24" spans="1:5" x14ac:dyDescent="0.2">
      <c r="A24" s="402"/>
      <c r="B24" s="278"/>
      <c r="C24" s="278" t="s">
        <v>78</v>
      </c>
      <c r="D24" s="278"/>
      <c r="E24" s="263"/>
    </row>
    <row r="25" spans="1:5" x14ac:dyDescent="0.2">
      <c r="A25" s="402"/>
      <c r="B25" s="278"/>
      <c r="C25" s="404" t="s">
        <v>79</v>
      </c>
      <c r="D25" s="404"/>
      <c r="E25" s="263" t="s">
        <v>621</v>
      </c>
    </row>
    <row r="26" spans="1:5" x14ac:dyDescent="0.2">
      <c r="A26" s="402"/>
      <c r="B26" s="278"/>
      <c r="C26" s="278" t="s">
        <v>80</v>
      </c>
      <c r="D26" s="278"/>
      <c r="E26" s="265" t="s">
        <v>276</v>
      </c>
    </row>
    <row r="27" spans="1:5" x14ac:dyDescent="0.2">
      <c r="A27" s="402"/>
      <c r="B27" s="278"/>
      <c r="C27" s="404" t="s">
        <v>81</v>
      </c>
      <c r="D27" s="404"/>
      <c r="E27" s="263" t="s">
        <v>276</v>
      </c>
    </row>
    <row r="28" spans="1:5" x14ac:dyDescent="0.2">
      <c r="A28" s="402"/>
      <c r="B28" s="278"/>
      <c r="C28" s="278" t="s">
        <v>82</v>
      </c>
      <c r="D28" s="278"/>
      <c r="E28" s="263" t="s">
        <v>276</v>
      </c>
    </row>
    <row r="29" spans="1:5" x14ac:dyDescent="0.2">
      <c r="A29" s="402"/>
      <c r="B29" s="278"/>
      <c r="C29" s="404" t="s">
        <v>83</v>
      </c>
      <c r="D29" s="404"/>
      <c r="E29" s="263" t="s">
        <v>276</v>
      </c>
    </row>
    <row r="30" spans="1:5" x14ac:dyDescent="0.2">
      <c r="A30" s="402"/>
      <c r="B30" s="278"/>
      <c r="C30" s="278" t="s">
        <v>84</v>
      </c>
      <c r="D30" s="278"/>
      <c r="E30" s="263" t="s">
        <v>276</v>
      </c>
    </row>
    <row r="31" spans="1:5" x14ac:dyDescent="0.2">
      <c r="A31" s="402"/>
      <c r="B31" s="278"/>
      <c r="C31" s="404" t="s">
        <v>85</v>
      </c>
      <c r="D31" s="404"/>
      <c r="E31" s="263" t="s">
        <v>276</v>
      </c>
    </row>
    <row r="32" spans="1:5" x14ac:dyDescent="0.2">
      <c r="A32" s="402"/>
      <c r="B32" s="278"/>
      <c r="C32" s="278" t="s">
        <v>86</v>
      </c>
      <c r="D32" s="278"/>
      <c r="E32" s="264" t="s">
        <v>585</v>
      </c>
    </row>
    <row r="33" spans="1:6" x14ac:dyDescent="0.2">
      <c r="A33" s="402"/>
      <c r="B33" s="84"/>
      <c r="C33" s="83"/>
      <c r="D33" s="84"/>
      <c r="E33" s="107"/>
    </row>
    <row r="34" spans="1:6" x14ac:dyDescent="0.2">
      <c r="A34" s="402"/>
      <c r="B34" s="84"/>
      <c r="C34" s="83"/>
      <c r="D34" s="84"/>
      <c r="E34" s="107"/>
    </row>
    <row r="35" spans="1:6" x14ac:dyDescent="0.2">
      <c r="A35" s="402"/>
      <c r="B35" s="407" t="s">
        <v>87</v>
      </c>
      <c r="C35" s="109" t="s">
        <v>88</v>
      </c>
      <c r="D35" s="110"/>
      <c r="E35" s="111"/>
    </row>
    <row r="36" spans="1:6" x14ac:dyDescent="0.2">
      <c r="A36" s="402"/>
      <c r="B36" s="407"/>
      <c r="C36" s="109" t="s">
        <v>89</v>
      </c>
      <c r="D36" s="110"/>
      <c r="E36" s="111"/>
    </row>
    <row r="37" spans="1:6" ht="15.75" customHeight="1" x14ac:dyDescent="0.2">
      <c r="A37" s="402"/>
      <c r="B37" s="407"/>
      <c r="C37" s="407" t="s">
        <v>90</v>
      </c>
      <c r="D37" s="110" t="s">
        <v>218</v>
      </c>
      <c r="E37" s="111"/>
    </row>
    <row r="38" spans="1:6" s="3" customFormat="1" ht="15.75" customHeight="1" x14ac:dyDescent="0.2">
      <c r="A38" s="402"/>
      <c r="B38" s="407"/>
      <c r="C38" s="407"/>
      <c r="D38" s="110" t="s">
        <v>16</v>
      </c>
      <c r="E38" s="111"/>
      <c r="F38" s="13"/>
    </row>
    <row r="39" spans="1:6" s="3" customFormat="1" ht="15.75" customHeight="1" x14ac:dyDescent="0.2">
      <c r="A39" s="402"/>
      <c r="B39" s="407"/>
      <c r="C39" s="407"/>
      <c r="D39" s="110" t="s">
        <v>219</v>
      </c>
      <c r="E39" s="111"/>
      <c r="F39" s="13"/>
    </row>
    <row r="40" spans="1:6" s="3" customFormat="1" ht="15.75" customHeight="1" x14ac:dyDescent="0.2">
      <c r="A40" s="402"/>
      <c r="B40" s="407"/>
      <c r="C40" s="407"/>
      <c r="D40" s="110" t="s">
        <v>16</v>
      </c>
      <c r="E40" s="111"/>
      <c r="F40" s="13"/>
    </row>
    <row r="41" spans="1:6" s="3" customFormat="1" ht="15.75" customHeight="1" x14ac:dyDescent="0.2">
      <c r="A41" s="402"/>
      <c r="B41" s="407"/>
      <c r="C41" s="407"/>
      <c r="D41" s="110" t="s">
        <v>220</v>
      </c>
      <c r="E41" s="111"/>
      <c r="F41" s="13"/>
    </row>
    <row r="42" spans="1:6" s="3" customFormat="1" ht="15.75" customHeight="1" x14ac:dyDescent="0.2">
      <c r="A42" s="402"/>
      <c r="B42" s="407"/>
      <c r="C42" s="407"/>
      <c r="D42" s="110" t="s">
        <v>16</v>
      </c>
      <c r="E42" s="111"/>
      <c r="F42" s="13"/>
    </row>
    <row r="43" spans="1:6" s="3" customFormat="1" ht="15.75" customHeight="1" x14ac:dyDescent="0.2">
      <c r="A43" s="402"/>
      <c r="B43" s="407"/>
      <c r="C43" s="407"/>
      <c r="D43" s="110" t="s">
        <v>221</v>
      </c>
      <c r="E43" s="111"/>
      <c r="F43" s="13"/>
    </row>
    <row r="44" spans="1:6" s="3" customFormat="1" ht="15.75" customHeight="1" x14ac:dyDescent="0.2">
      <c r="A44" s="402"/>
      <c r="B44" s="407"/>
      <c r="C44" s="407"/>
      <c r="D44" s="110" t="s">
        <v>16</v>
      </c>
      <c r="E44" s="111"/>
      <c r="F44" s="13"/>
    </row>
    <row r="45" spans="1:6" x14ac:dyDescent="0.2">
      <c r="A45" s="402"/>
      <c r="B45" s="278" t="s">
        <v>91</v>
      </c>
      <c r="C45" s="83" t="s">
        <v>88</v>
      </c>
      <c r="D45" s="84"/>
      <c r="E45" s="107"/>
    </row>
    <row r="46" spans="1:6" x14ac:dyDescent="0.2">
      <c r="A46" s="402"/>
      <c r="B46" s="282"/>
      <c r="C46" s="83" t="s">
        <v>89</v>
      </c>
      <c r="D46" s="84"/>
      <c r="E46" s="107"/>
    </row>
    <row r="47" spans="1:6" ht="13.5" thickBot="1" x14ac:dyDescent="0.25">
      <c r="A47" s="403"/>
      <c r="B47" s="406"/>
      <c r="C47" s="112" t="s">
        <v>90</v>
      </c>
      <c r="D47" s="113"/>
      <c r="E47" s="114"/>
    </row>
    <row r="48" spans="1:6" x14ac:dyDescent="0.2">
      <c r="A48" s="115"/>
      <c r="B48" s="115"/>
      <c r="C48" s="115"/>
    </row>
    <row r="49" spans="3:5" x14ac:dyDescent="0.2">
      <c r="C49" s="115"/>
      <c r="D49" s="115"/>
    </row>
    <row r="50" spans="3:5" x14ac:dyDescent="0.2">
      <c r="D50" s="115"/>
    </row>
    <row r="51" spans="3:5" x14ac:dyDescent="0.2">
      <c r="C51" s="115"/>
    </row>
    <row r="52" spans="3:5" x14ac:dyDescent="0.2">
      <c r="C52" s="115"/>
      <c r="D52" s="115"/>
    </row>
    <row r="53" spans="3:5" x14ac:dyDescent="0.2">
      <c r="D53" s="115"/>
    </row>
    <row r="54" spans="3:5" x14ac:dyDescent="0.2">
      <c r="D54" s="115"/>
    </row>
    <row r="55" spans="3:5" x14ac:dyDescent="0.2">
      <c r="C55" s="115"/>
    </row>
    <row r="56" spans="3:5" x14ac:dyDescent="0.2">
      <c r="C56" s="115"/>
    </row>
    <row r="57" spans="3:5" x14ac:dyDescent="0.2">
      <c r="C57" s="115"/>
      <c r="D57" s="115"/>
    </row>
    <row r="58" spans="3:5" x14ac:dyDescent="0.2">
      <c r="D58" s="115"/>
    </row>
    <row r="59" spans="3:5" x14ac:dyDescent="0.2">
      <c r="C59" s="115"/>
    </row>
    <row r="60" spans="3:5" x14ac:dyDescent="0.2">
      <c r="C60" s="115"/>
    </row>
    <row r="61" spans="3:5" x14ac:dyDescent="0.2">
      <c r="C61" s="115"/>
      <c r="D61" s="115"/>
      <c r="E61" s="116"/>
    </row>
    <row r="62" spans="3:5" x14ac:dyDescent="0.2">
      <c r="E62" s="116"/>
    </row>
    <row r="63" spans="3:5" x14ac:dyDescent="0.2">
      <c r="E63" s="116"/>
    </row>
    <row r="64" spans="3:5" x14ac:dyDescent="0.2">
      <c r="E64" s="116"/>
    </row>
    <row r="65" spans="4:6" x14ac:dyDescent="0.2">
      <c r="E65" s="116"/>
      <c r="F65" s="115"/>
    </row>
    <row r="66" spans="4:6" x14ac:dyDescent="0.2">
      <c r="F66" s="115"/>
    </row>
    <row r="67" spans="4:6" x14ac:dyDescent="0.2">
      <c r="E67" s="116"/>
      <c r="F67" s="115"/>
    </row>
    <row r="68" spans="4:6" x14ac:dyDescent="0.2">
      <c r="F68" s="115"/>
    </row>
    <row r="69" spans="4:6" x14ac:dyDescent="0.2">
      <c r="E69" s="116"/>
    </row>
    <row r="70" spans="4:6" x14ac:dyDescent="0.2">
      <c r="E70" s="116"/>
    </row>
    <row r="71" spans="4:6" x14ac:dyDescent="0.2">
      <c r="E71" s="116"/>
    </row>
    <row r="72" spans="4:6" x14ac:dyDescent="0.2">
      <c r="E72" s="116"/>
    </row>
    <row r="73" spans="4:6" x14ac:dyDescent="0.2">
      <c r="D73" s="115"/>
      <c r="E73" s="116"/>
    </row>
    <row r="74" spans="4:6" x14ac:dyDescent="0.2">
      <c r="E74" s="116"/>
    </row>
    <row r="75" spans="4:6" x14ac:dyDescent="0.2">
      <c r="E75" s="116"/>
    </row>
    <row r="76" spans="4:6" x14ac:dyDescent="0.2">
      <c r="D76" s="115"/>
      <c r="E76" s="116"/>
    </row>
    <row r="77" spans="4:6" x14ac:dyDescent="0.2">
      <c r="E77" s="116"/>
    </row>
    <row r="78" spans="4:6" x14ac:dyDescent="0.2">
      <c r="E78" s="116"/>
    </row>
    <row r="79" spans="4:6" x14ac:dyDescent="0.2">
      <c r="E79" s="116"/>
      <c r="F79" s="115"/>
    </row>
    <row r="80" spans="4:6" x14ac:dyDescent="0.2">
      <c r="F80" s="115"/>
    </row>
    <row r="81" spans="4:7" x14ac:dyDescent="0.2">
      <c r="E81" s="116"/>
      <c r="F81" s="115"/>
    </row>
    <row r="82" spans="4:7" x14ac:dyDescent="0.2">
      <c r="F82" s="115"/>
    </row>
    <row r="83" spans="4:7" x14ac:dyDescent="0.2">
      <c r="F83" s="115"/>
    </row>
    <row r="84" spans="4:7" ht="15.75" x14ac:dyDescent="0.2">
      <c r="E84" s="116"/>
      <c r="F84" s="115"/>
      <c r="G84" s="1"/>
    </row>
    <row r="85" spans="4:7" ht="15.75" x14ac:dyDescent="0.2">
      <c r="G85" s="1"/>
    </row>
    <row r="86" spans="4:7" ht="15.75" x14ac:dyDescent="0.2">
      <c r="G86" s="1"/>
    </row>
    <row r="87" spans="4:7" ht="15.75" x14ac:dyDescent="0.2">
      <c r="G87" s="1"/>
    </row>
    <row r="88" spans="4:7" x14ac:dyDescent="0.2">
      <c r="D88" s="115"/>
      <c r="E88" s="116"/>
    </row>
    <row r="89" spans="4:7" x14ac:dyDescent="0.2">
      <c r="E89" s="116"/>
    </row>
    <row r="90" spans="4:7" x14ac:dyDescent="0.2">
      <c r="E90" s="116"/>
    </row>
    <row r="91" spans="4:7" x14ac:dyDescent="0.2">
      <c r="E91" s="116"/>
    </row>
    <row r="92" spans="4:7" x14ac:dyDescent="0.2">
      <c r="E92" s="116"/>
    </row>
    <row r="93" spans="4:7" x14ac:dyDescent="0.2">
      <c r="E93" s="116"/>
    </row>
    <row r="94" spans="4:7" x14ac:dyDescent="0.2">
      <c r="E94" s="116"/>
      <c r="F94" s="115"/>
    </row>
    <row r="95" spans="4:7" x14ac:dyDescent="0.2">
      <c r="F95" s="115"/>
    </row>
    <row r="96" spans="4:7" x14ac:dyDescent="0.2">
      <c r="E96" s="116"/>
    </row>
    <row r="97" spans="1:5" x14ac:dyDescent="0.2">
      <c r="A97" s="399"/>
      <c r="B97" s="399"/>
      <c r="C97" s="399"/>
      <c r="D97" s="115"/>
    </row>
    <row r="98" spans="1:5" x14ac:dyDescent="0.2">
      <c r="A98" s="400"/>
      <c r="B98" s="400"/>
      <c r="C98" s="400"/>
      <c r="D98" s="115"/>
    </row>
    <row r="99" spans="1:5" x14ac:dyDescent="0.2">
      <c r="A99" s="400"/>
      <c r="B99" s="400"/>
      <c r="C99" s="115"/>
    </row>
    <row r="100" spans="1:5" x14ac:dyDescent="0.2">
      <c r="A100" s="399"/>
      <c r="B100" s="399"/>
      <c r="C100" s="115"/>
      <c r="D100" s="115"/>
    </row>
    <row r="101" spans="1:5" x14ac:dyDescent="0.2">
      <c r="A101" s="400"/>
      <c r="B101" s="400"/>
      <c r="C101" s="399"/>
      <c r="D101" s="115"/>
    </row>
    <row r="102" spans="1:5" x14ac:dyDescent="0.2">
      <c r="A102" s="400"/>
      <c r="B102" s="400"/>
      <c r="C102" s="400"/>
      <c r="D102" s="115"/>
    </row>
    <row r="103" spans="1:5" x14ac:dyDescent="0.2">
      <c r="A103" s="400"/>
      <c r="B103" s="400"/>
      <c r="C103" s="399"/>
      <c r="D103" s="115"/>
    </row>
    <row r="104" spans="1:5" x14ac:dyDescent="0.2">
      <c r="A104" s="400"/>
      <c r="B104" s="400"/>
      <c r="C104" s="400"/>
      <c r="D104" s="115"/>
    </row>
    <row r="105" spans="1:5" x14ac:dyDescent="0.2">
      <c r="A105" s="400"/>
      <c r="B105" s="400"/>
      <c r="C105" s="115"/>
    </row>
    <row r="106" spans="1:5" x14ac:dyDescent="0.2">
      <c r="A106" s="400"/>
      <c r="B106" s="400"/>
      <c r="C106" s="115"/>
    </row>
    <row r="107" spans="1:5" x14ac:dyDescent="0.2">
      <c r="A107" s="399"/>
      <c r="B107" s="399"/>
      <c r="C107" s="115"/>
      <c r="D107" s="115"/>
    </row>
    <row r="108" spans="1:5" x14ac:dyDescent="0.2">
      <c r="A108" s="400"/>
      <c r="B108" s="400"/>
      <c r="C108" s="399"/>
      <c r="D108" s="115"/>
    </row>
    <row r="109" spans="1:5" x14ac:dyDescent="0.2">
      <c r="A109" s="400"/>
      <c r="B109" s="400"/>
      <c r="C109" s="400"/>
      <c r="D109" s="115"/>
      <c r="E109" s="116"/>
    </row>
    <row r="110" spans="1:5" x14ac:dyDescent="0.2">
      <c r="A110" s="115"/>
    </row>
    <row r="111" spans="1:5" x14ac:dyDescent="0.2">
      <c r="A111" s="115"/>
    </row>
    <row r="112" spans="1:5" x14ac:dyDescent="0.2">
      <c r="A112" s="115"/>
    </row>
    <row r="113" spans="1:1" x14ac:dyDescent="0.2">
      <c r="A113" s="115"/>
    </row>
    <row r="114" spans="1:1" x14ac:dyDescent="0.2">
      <c r="A114" s="115"/>
    </row>
    <row r="115" spans="1:1" x14ac:dyDescent="0.2">
      <c r="A115" s="115"/>
    </row>
    <row r="116" spans="1:1" x14ac:dyDescent="0.2">
      <c r="A116" s="115"/>
    </row>
    <row r="117" spans="1:1" x14ac:dyDescent="0.2">
      <c r="A117" s="115"/>
    </row>
    <row r="118" spans="1:1" x14ac:dyDescent="0.2">
      <c r="A118" s="115"/>
    </row>
    <row r="119" spans="1:1" x14ac:dyDescent="0.2">
      <c r="A119" s="115"/>
    </row>
    <row r="120" spans="1:1" x14ac:dyDescent="0.2">
      <c r="A120" s="115"/>
    </row>
    <row r="121" spans="1:1" x14ac:dyDescent="0.2">
      <c r="A121" s="115"/>
    </row>
    <row r="122" spans="1:1" x14ac:dyDescent="0.2">
      <c r="A122" s="115"/>
    </row>
    <row r="123" spans="1:1" x14ac:dyDescent="0.2">
      <c r="A123" s="115"/>
    </row>
    <row r="124" spans="1:1" x14ac:dyDescent="0.2">
      <c r="A124" s="115"/>
    </row>
    <row r="125" spans="1:1" x14ac:dyDescent="0.2">
      <c r="A125" s="115"/>
    </row>
    <row r="126" spans="1:1" x14ac:dyDescent="0.2">
      <c r="A126" s="115"/>
    </row>
    <row r="127" spans="1:1" x14ac:dyDescent="0.2">
      <c r="A127" s="115"/>
    </row>
    <row r="128" spans="1:1" x14ac:dyDescent="0.2">
      <c r="A128" s="115"/>
    </row>
    <row r="129" spans="1:2" x14ac:dyDescent="0.2">
      <c r="A129" s="115"/>
    </row>
    <row r="130" spans="1:2" x14ac:dyDescent="0.2">
      <c r="A130" s="115"/>
    </row>
    <row r="131" spans="1:2" x14ac:dyDescent="0.2">
      <c r="A131" s="115"/>
    </row>
    <row r="132" spans="1:2" x14ac:dyDescent="0.2">
      <c r="A132" s="115"/>
    </row>
    <row r="133" spans="1:2" x14ac:dyDescent="0.2">
      <c r="A133" s="399"/>
      <c r="B133" s="115"/>
    </row>
    <row r="134" spans="1:2" x14ac:dyDescent="0.2">
      <c r="A134" s="400"/>
      <c r="B134" s="115"/>
    </row>
    <row r="135" spans="1:2" x14ac:dyDescent="0.2">
      <c r="A135" s="400"/>
      <c r="B135" s="115"/>
    </row>
    <row r="136" spans="1:2" x14ac:dyDescent="0.2">
      <c r="A136" s="400"/>
      <c r="B136" s="115"/>
    </row>
    <row r="137" spans="1:2" x14ac:dyDescent="0.2">
      <c r="A137" s="400"/>
      <c r="B137" s="115"/>
    </row>
    <row r="138" spans="1:2" x14ac:dyDescent="0.2">
      <c r="A138" s="400"/>
      <c r="B138" s="115"/>
    </row>
    <row r="139" spans="1:2" x14ac:dyDescent="0.2">
      <c r="A139" s="400"/>
      <c r="B139" s="115"/>
    </row>
    <row r="140" spans="1:2" x14ac:dyDescent="0.2">
      <c r="A140" s="400"/>
      <c r="B140" s="115"/>
    </row>
    <row r="141" spans="1:2" x14ac:dyDescent="0.2">
      <c r="A141" s="400"/>
      <c r="B141" s="115"/>
    </row>
    <row r="142" spans="1:2" x14ac:dyDescent="0.2">
      <c r="A142" s="400"/>
      <c r="B142" s="115"/>
    </row>
    <row r="143" spans="1:2" x14ac:dyDescent="0.2">
      <c r="A143" s="400"/>
      <c r="B143" s="115"/>
    </row>
    <row r="144" spans="1:2" x14ac:dyDescent="0.2">
      <c r="A144" s="400"/>
      <c r="B144" s="115"/>
    </row>
    <row r="145" spans="1:2" x14ac:dyDescent="0.2">
      <c r="A145" s="400"/>
      <c r="B145" s="115"/>
    </row>
    <row r="146" spans="1:2" x14ac:dyDescent="0.2">
      <c r="A146" s="400"/>
      <c r="B146" s="115"/>
    </row>
    <row r="147" spans="1:2" x14ac:dyDescent="0.2">
      <c r="A147" s="400"/>
      <c r="B147" s="115"/>
    </row>
    <row r="148" spans="1:2" x14ac:dyDescent="0.2">
      <c r="A148" s="400"/>
      <c r="B148" s="115"/>
    </row>
    <row r="149" spans="1:2" x14ac:dyDescent="0.2">
      <c r="A149" s="400"/>
      <c r="B149" s="115"/>
    </row>
    <row r="150" spans="1:2" x14ac:dyDescent="0.2">
      <c r="A150" s="400"/>
      <c r="B150" s="115"/>
    </row>
    <row r="151" spans="1:2" x14ac:dyDescent="0.2">
      <c r="A151" s="400"/>
      <c r="B151" s="115"/>
    </row>
    <row r="152" spans="1:2" x14ac:dyDescent="0.2">
      <c r="A152" s="400"/>
      <c r="B152" s="115"/>
    </row>
    <row r="153" spans="1:2" x14ac:dyDescent="0.2">
      <c r="A153" s="400"/>
      <c r="B153" s="115"/>
    </row>
    <row r="154" spans="1:2" x14ac:dyDescent="0.2">
      <c r="A154" s="400"/>
      <c r="B154" s="115"/>
    </row>
    <row r="155" spans="1:2" x14ac:dyDescent="0.2">
      <c r="A155" s="400"/>
      <c r="B155" s="115"/>
    </row>
    <row r="156" spans="1:2" x14ac:dyDescent="0.2">
      <c r="A156" s="400"/>
      <c r="B156" s="115"/>
    </row>
    <row r="157" spans="1:2" x14ac:dyDescent="0.2">
      <c r="A157" s="400"/>
      <c r="B157" s="115"/>
    </row>
    <row r="158" spans="1:2" x14ac:dyDescent="0.2">
      <c r="A158" s="400"/>
      <c r="B158" s="115"/>
    </row>
    <row r="159" spans="1:2" x14ac:dyDescent="0.2">
      <c r="A159" s="400"/>
      <c r="B159" s="115"/>
    </row>
    <row r="160" spans="1:2" x14ac:dyDescent="0.2">
      <c r="A160" s="399"/>
      <c r="B160" s="115"/>
    </row>
    <row r="161" spans="1:2" x14ac:dyDescent="0.2">
      <c r="A161" s="400"/>
      <c r="B161" s="115"/>
    </row>
    <row r="162" spans="1:2" x14ac:dyDescent="0.2">
      <c r="A162" s="400"/>
      <c r="B162" s="115"/>
    </row>
    <row r="163" spans="1:2" x14ac:dyDescent="0.2">
      <c r="A163" s="400"/>
      <c r="B163" s="115"/>
    </row>
    <row r="164" spans="1:2" x14ac:dyDescent="0.2">
      <c r="A164" s="400"/>
      <c r="B164" s="115"/>
    </row>
    <row r="165" spans="1:2" x14ac:dyDescent="0.2">
      <c r="A165" s="400"/>
      <c r="B165" s="115"/>
    </row>
    <row r="166" spans="1:2" x14ac:dyDescent="0.2">
      <c r="A166" s="400"/>
      <c r="B166" s="115"/>
    </row>
    <row r="167" spans="1:2" x14ac:dyDescent="0.2">
      <c r="A167" s="400"/>
      <c r="B167" s="115"/>
    </row>
    <row r="168" spans="1:2" x14ac:dyDescent="0.2">
      <c r="A168" s="400"/>
      <c r="B168" s="115"/>
    </row>
    <row r="169" spans="1:2" x14ac:dyDescent="0.2">
      <c r="A169" s="400"/>
      <c r="B169" s="115"/>
    </row>
    <row r="170" spans="1:2" x14ac:dyDescent="0.2">
      <c r="A170" s="400"/>
      <c r="B170" s="115"/>
    </row>
    <row r="171" spans="1:2" x14ac:dyDescent="0.2">
      <c r="A171" s="400"/>
      <c r="B171" s="115"/>
    </row>
    <row r="172" spans="1:2" x14ac:dyDescent="0.2">
      <c r="A172" s="400"/>
      <c r="B172" s="115"/>
    </row>
    <row r="173" spans="1:2" x14ac:dyDescent="0.2">
      <c r="A173" s="400"/>
      <c r="B173" s="115"/>
    </row>
    <row r="174" spans="1:2" x14ac:dyDescent="0.2">
      <c r="A174" s="400"/>
      <c r="B174" s="115"/>
    </row>
    <row r="175" spans="1:2" x14ac:dyDescent="0.2">
      <c r="A175" s="400"/>
      <c r="B175" s="115"/>
    </row>
    <row r="176" spans="1:2" x14ac:dyDescent="0.2">
      <c r="A176" s="400"/>
      <c r="B176" s="115"/>
    </row>
    <row r="177" spans="1:2" x14ac:dyDescent="0.2">
      <c r="A177" s="400"/>
      <c r="B177" s="115"/>
    </row>
    <row r="178" spans="1:2" x14ac:dyDescent="0.2">
      <c r="A178" s="400"/>
      <c r="B178" s="115"/>
    </row>
    <row r="179" spans="1:2" x14ac:dyDescent="0.2">
      <c r="A179" s="400"/>
      <c r="B179" s="115"/>
    </row>
    <row r="180" spans="1:2" x14ac:dyDescent="0.2">
      <c r="A180" s="400"/>
      <c r="B180" s="115"/>
    </row>
    <row r="181" spans="1:2" x14ac:dyDescent="0.2">
      <c r="A181" s="400"/>
      <c r="B181" s="115"/>
    </row>
    <row r="182" spans="1:2" x14ac:dyDescent="0.2">
      <c r="A182" s="400"/>
      <c r="B182" s="115"/>
    </row>
    <row r="183" spans="1:2" x14ac:dyDescent="0.2">
      <c r="A183" s="400"/>
      <c r="B183" s="115"/>
    </row>
    <row r="184" spans="1:2" x14ac:dyDescent="0.2">
      <c r="A184" s="400"/>
      <c r="B184" s="115"/>
    </row>
    <row r="185" spans="1:2" x14ac:dyDescent="0.2">
      <c r="A185" s="400"/>
      <c r="B185" s="115"/>
    </row>
    <row r="186" spans="1:2" x14ac:dyDescent="0.2">
      <c r="A186" s="400"/>
      <c r="B186" s="115"/>
    </row>
    <row r="187" spans="1:2" x14ac:dyDescent="0.2">
      <c r="A187" s="400"/>
      <c r="B187" s="115"/>
    </row>
    <row r="188" spans="1:2" x14ac:dyDescent="0.2">
      <c r="A188" s="400"/>
      <c r="B188" s="115"/>
    </row>
    <row r="189" spans="1:2" x14ac:dyDescent="0.2">
      <c r="A189" s="400"/>
      <c r="B189" s="115"/>
    </row>
    <row r="190" spans="1:2" x14ac:dyDescent="0.2">
      <c r="A190" s="400"/>
      <c r="B190" s="115"/>
    </row>
    <row r="191" spans="1:2" x14ac:dyDescent="0.2">
      <c r="A191" s="400"/>
      <c r="B191" s="115"/>
    </row>
    <row r="192" spans="1:2" x14ac:dyDescent="0.2">
      <c r="A192" s="400"/>
      <c r="B192" s="115"/>
    </row>
    <row r="193" spans="1:2" x14ac:dyDescent="0.2">
      <c r="A193" s="400"/>
      <c r="B193" s="115"/>
    </row>
    <row r="194" spans="1:2" x14ac:dyDescent="0.2">
      <c r="A194" s="400"/>
      <c r="B194" s="115"/>
    </row>
    <row r="195" spans="1:2" x14ac:dyDescent="0.2">
      <c r="A195" s="400"/>
      <c r="B195" s="115"/>
    </row>
    <row r="196" spans="1:2" x14ac:dyDescent="0.2">
      <c r="A196" s="400"/>
      <c r="B196" s="115"/>
    </row>
    <row r="197" spans="1:2" x14ac:dyDescent="0.2">
      <c r="A197" s="400"/>
      <c r="B197" s="115"/>
    </row>
    <row r="198" spans="1:2" x14ac:dyDescent="0.2">
      <c r="A198" s="400"/>
      <c r="B198" s="115"/>
    </row>
    <row r="199" spans="1:2" x14ac:dyDescent="0.2">
      <c r="A199" s="400"/>
      <c r="B199" s="115"/>
    </row>
    <row r="200" spans="1:2" x14ac:dyDescent="0.2">
      <c r="A200" s="400"/>
      <c r="B200" s="115"/>
    </row>
    <row r="201" spans="1:2" x14ac:dyDescent="0.2">
      <c r="A201" s="400"/>
      <c r="B201" s="115"/>
    </row>
    <row r="202" spans="1:2" x14ac:dyDescent="0.2">
      <c r="A202" s="400"/>
      <c r="B202" s="115"/>
    </row>
    <row r="203" spans="1:2" x14ac:dyDescent="0.2">
      <c r="A203" s="400"/>
      <c r="B203" s="115"/>
    </row>
    <row r="204" spans="1:2" x14ac:dyDescent="0.2">
      <c r="A204" s="400"/>
      <c r="B204" s="115"/>
    </row>
    <row r="205" spans="1:2" x14ac:dyDescent="0.2">
      <c r="A205" s="400"/>
      <c r="B205" s="115"/>
    </row>
    <row r="206" spans="1:2" x14ac:dyDescent="0.2">
      <c r="A206" s="400"/>
      <c r="B206" s="115"/>
    </row>
    <row r="207" spans="1:2" x14ac:dyDescent="0.2">
      <c r="A207" s="400"/>
      <c r="B207" s="115"/>
    </row>
    <row r="208" spans="1:2" x14ac:dyDescent="0.2">
      <c r="A208" s="400"/>
      <c r="B208" s="115"/>
    </row>
    <row r="209" spans="1:2" x14ac:dyDescent="0.2">
      <c r="A209" s="400"/>
      <c r="B209" s="115"/>
    </row>
    <row r="210" spans="1:2" x14ac:dyDescent="0.2">
      <c r="A210" s="399"/>
      <c r="B210" s="115"/>
    </row>
    <row r="211" spans="1:2" x14ac:dyDescent="0.2">
      <c r="A211" s="400"/>
      <c r="B211" s="115"/>
    </row>
    <row r="212" spans="1:2" x14ac:dyDescent="0.2">
      <c r="A212" s="400"/>
      <c r="B212" s="115"/>
    </row>
    <row r="213" spans="1:2" x14ac:dyDescent="0.2">
      <c r="A213" s="400"/>
      <c r="B213" s="115"/>
    </row>
    <row r="214" spans="1:2" x14ac:dyDescent="0.2">
      <c r="A214" s="400"/>
      <c r="B214" s="115"/>
    </row>
    <row r="215" spans="1:2" x14ac:dyDescent="0.2">
      <c r="A215" s="400"/>
      <c r="B215" s="115"/>
    </row>
    <row r="216" spans="1:2" x14ac:dyDescent="0.2">
      <c r="A216" s="400"/>
      <c r="B216" s="115"/>
    </row>
    <row r="217" spans="1:2" x14ac:dyDescent="0.2">
      <c r="A217" s="400"/>
      <c r="B217" s="115"/>
    </row>
    <row r="218" spans="1:2" x14ac:dyDescent="0.2">
      <c r="A218" s="400"/>
      <c r="B218" s="115"/>
    </row>
    <row r="219" spans="1:2" x14ac:dyDescent="0.2">
      <c r="A219" s="399"/>
      <c r="B219" s="115"/>
    </row>
    <row r="220" spans="1:2" x14ac:dyDescent="0.2">
      <c r="A220" s="400"/>
      <c r="B220" s="115"/>
    </row>
    <row r="221" spans="1:2" x14ac:dyDescent="0.2">
      <c r="A221" s="400"/>
      <c r="B221" s="115"/>
    </row>
    <row r="222" spans="1:2" x14ac:dyDescent="0.2">
      <c r="A222" s="400"/>
      <c r="B222" s="115"/>
    </row>
    <row r="223" spans="1:2" x14ac:dyDescent="0.2">
      <c r="A223" s="400"/>
      <c r="B223" s="115"/>
    </row>
    <row r="224" spans="1:2" x14ac:dyDescent="0.2">
      <c r="A224" s="400"/>
      <c r="B224" s="115"/>
    </row>
    <row r="225" spans="1:2" x14ac:dyDescent="0.2">
      <c r="A225" s="400"/>
      <c r="B225" s="115"/>
    </row>
    <row r="226" spans="1:2" x14ac:dyDescent="0.2">
      <c r="A226" s="400"/>
      <c r="B226" s="115"/>
    </row>
    <row r="227" spans="1:2" x14ac:dyDescent="0.2">
      <c r="A227" s="400"/>
      <c r="B227" s="115"/>
    </row>
    <row r="228" spans="1:2" x14ac:dyDescent="0.2">
      <c r="A228" s="400"/>
      <c r="B228" s="115"/>
    </row>
    <row r="229" spans="1:2" x14ac:dyDescent="0.2">
      <c r="A229" s="400"/>
      <c r="B229" s="115"/>
    </row>
    <row r="230" spans="1:2" x14ac:dyDescent="0.2">
      <c r="A230" s="400"/>
      <c r="B230" s="115"/>
    </row>
    <row r="231" spans="1:2" x14ac:dyDescent="0.2">
      <c r="A231" s="400"/>
      <c r="B231" s="115"/>
    </row>
  </sheetData>
  <mergeCells count="37">
    <mergeCell ref="A97:A99"/>
    <mergeCell ref="B97:B99"/>
    <mergeCell ref="A160:A209"/>
    <mergeCell ref="A210:A218"/>
    <mergeCell ref="A219:A231"/>
    <mergeCell ref="B100:B106"/>
    <mergeCell ref="A133:A159"/>
    <mergeCell ref="C101:C102"/>
    <mergeCell ref="C103:C104"/>
    <mergeCell ref="A107:A109"/>
    <mergeCell ref="B107:B109"/>
    <mergeCell ref="C108:C109"/>
    <mergeCell ref="C25:D25"/>
    <mergeCell ref="C26:D26"/>
    <mergeCell ref="C27:D27"/>
    <mergeCell ref="B35:B44"/>
    <mergeCell ref="C37:C44"/>
    <mergeCell ref="B4:B32"/>
    <mergeCell ref="C8:D8"/>
    <mergeCell ref="C15:D15"/>
    <mergeCell ref="C16:D16"/>
    <mergeCell ref="C97:C98"/>
    <mergeCell ref="A100:A106"/>
    <mergeCell ref="A4:A47"/>
    <mergeCell ref="C9:C11"/>
    <mergeCell ref="C12:C14"/>
    <mergeCell ref="C19:C20"/>
    <mergeCell ref="C21:C23"/>
    <mergeCell ref="B45:B47"/>
    <mergeCell ref="C5:C7"/>
    <mergeCell ref="C17:C18"/>
    <mergeCell ref="C24:D24"/>
    <mergeCell ref="C28:D28"/>
    <mergeCell ref="C29:D29"/>
    <mergeCell ref="C30:D30"/>
    <mergeCell ref="C31:D31"/>
    <mergeCell ref="C32:D32"/>
  </mergeCells>
  <pageMargins left="0.75" right="0.75" top="1" bottom="1" header="0.5" footer="0.5"/>
  <pageSetup paperSize="9" orientation="portrait" horizontalDpi="300" verticalDpi="300" r:id="rId1"/>
  <headerFooter alignWithMargins="0"/>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5:H25"/>
  <sheetViews>
    <sheetView workbookViewId="0">
      <selection activeCell="D21" sqref="D21:D25"/>
    </sheetView>
  </sheetViews>
  <sheetFormatPr defaultColWidth="9.140625" defaultRowHeight="12.75" x14ac:dyDescent="0.2"/>
  <cols>
    <col min="1" max="1" width="20.28515625" style="86" customWidth="1"/>
    <col min="2" max="2" width="25.7109375" style="86" bestFit="1" customWidth="1"/>
    <col min="3" max="3" width="24.85546875" style="86" customWidth="1"/>
    <col min="4" max="4" width="35.140625" style="86" customWidth="1"/>
    <col min="5" max="8" width="9.140625" style="86"/>
    <col min="9" max="16384" width="9.140625" style="90"/>
  </cols>
  <sheetData>
    <row r="5" spans="1:4" x14ac:dyDescent="0.2">
      <c r="A5" s="280" t="s">
        <v>658</v>
      </c>
      <c r="B5" s="323" t="s">
        <v>659</v>
      </c>
      <c r="C5" s="324"/>
      <c r="D5" s="117" t="s">
        <v>671</v>
      </c>
    </row>
    <row r="6" spans="1:4" x14ac:dyDescent="0.2">
      <c r="A6" s="281"/>
      <c r="B6" s="323" t="s">
        <v>660</v>
      </c>
      <c r="C6" s="324"/>
      <c r="D6" s="266"/>
    </row>
    <row r="7" spans="1:4" x14ac:dyDescent="0.2">
      <c r="A7" s="281"/>
      <c r="B7" s="323" t="s">
        <v>661</v>
      </c>
      <c r="C7" s="324"/>
      <c r="D7" s="266"/>
    </row>
    <row r="8" spans="1:4" x14ac:dyDescent="0.2">
      <c r="A8" s="281"/>
      <c r="B8" s="323" t="s">
        <v>662</v>
      </c>
      <c r="C8" s="324"/>
      <c r="D8" s="266"/>
    </row>
    <row r="9" spans="1:4" x14ac:dyDescent="0.2">
      <c r="A9" s="281"/>
      <c r="B9" s="323" t="s">
        <v>663</v>
      </c>
      <c r="C9" s="324"/>
      <c r="D9" s="266"/>
    </row>
    <row r="10" spans="1:4" x14ac:dyDescent="0.2">
      <c r="A10" s="281"/>
      <c r="B10" s="87" t="s">
        <v>664</v>
      </c>
      <c r="C10" s="88"/>
      <c r="D10" s="266"/>
    </row>
    <row r="11" spans="1:4" x14ac:dyDescent="0.2">
      <c r="B11" s="85"/>
    </row>
    <row r="12" spans="1:4" x14ac:dyDescent="0.2">
      <c r="A12" s="280" t="s">
        <v>634</v>
      </c>
      <c r="B12" s="323" t="s">
        <v>635</v>
      </c>
      <c r="C12" s="324"/>
      <c r="D12" s="117" t="s">
        <v>671</v>
      </c>
    </row>
    <row r="13" spans="1:4" x14ac:dyDescent="0.2">
      <c r="A13" s="281"/>
      <c r="B13" s="323" t="s">
        <v>636</v>
      </c>
      <c r="C13" s="324"/>
      <c r="D13" s="266"/>
    </row>
    <row r="14" spans="1:4" x14ac:dyDescent="0.2">
      <c r="A14" s="281"/>
      <c r="B14" s="280" t="s">
        <v>637</v>
      </c>
      <c r="C14" s="87" t="s">
        <v>638</v>
      </c>
      <c r="D14" s="266"/>
    </row>
    <row r="15" spans="1:4" x14ac:dyDescent="0.2">
      <c r="A15" s="281"/>
      <c r="B15" s="281"/>
      <c r="C15" s="87" t="s">
        <v>639</v>
      </c>
      <c r="D15" s="266"/>
    </row>
    <row r="16" spans="1:4" x14ac:dyDescent="0.2">
      <c r="A16" s="281"/>
      <c r="B16" s="323" t="s">
        <v>640</v>
      </c>
      <c r="C16" s="324"/>
      <c r="D16" s="266"/>
    </row>
    <row r="17" spans="1:4" x14ac:dyDescent="0.2">
      <c r="A17" s="281"/>
      <c r="B17" s="323" t="s">
        <v>641</v>
      </c>
      <c r="C17" s="324"/>
      <c r="D17" s="266"/>
    </row>
    <row r="20" spans="1:4" x14ac:dyDescent="0.2">
      <c r="A20" s="280" t="s">
        <v>642</v>
      </c>
      <c r="B20" s="323" t="s">
        <v>643</v>
      </c>
      <c r="C20" s="324"/>
      <c r="D20" s="117" t="s">
        <v>671</v>
      </c>
    </row>
    <row r="21" spans="1:4" x14ac:dyDescent="0.2">
      <c r="A21" s="281"/>
      <c r="B21" s="323" t="s">
        <v>644</v>
      </c>
      <c r="C21" s="324"/>
      <c r="D21" s="266"/>
    </row>
    <row r="22" spans="1:4" x14ac:dyDescent="0.2">
      <c r="A22" s="281"/>
      <c r="B22" s="323" t="s">
        <v>645</v>
      </c>
      <c r="C22" s="324"/>
      <c r="D22" s="266"/>
    </row>
    <row r="23" spans="1:4" x14ac:dyDescent="0.2">
      <c r="A23" s="281"/>
      <c r="B23" s="323" t="s">
        <v>646</v>
      </c>
      <c r="C23" s="324"/>
      <c r="D23" s="266"/>
    </row>
    <row r="24" spans="1:4" x14ac:dyDescent="0.2">
      <c r="A24" s="281"/>
      <c r="B24" s="323" t="s">
        <v>647</v>
      </c>
      <c r="C24" s="324"/>
      <c r="D24" s="266"/>
    </row>
    <row r="25" spans="1:4" x14ac:dyDescent="0.2">
      <c r="A25" s="281"/>
      <c r="B25" s="323" t="s">
        <v>648</v>
      </c>
      <c r="C25" s="324"/>
      <c r="D25" s="266"/>
    </row>
  </sheetData>
  <mergeCells count="19">
    <mergeCell ref="A5:A10"/>
    <mergeCell ref="B5:C5"/>
    <mergeCell ref="B6:C6"/>
    <mergeCell ref="B7:C7"/>
    <mergeCell ref="B8:C8"/>
    <mergeCell ref="B9:C9"/>
    <mergeCell ref="A12:A17"/>
    <mergeCell ref="B14:B15"/>
    <mergeCell ref="A20:A25"/>
    <mergeCell ref="B12:C12"/>
    <mergeCell ref="B13:C13"/>
    <mergeCell ref="B16:C16"/>
    <mergeCell ref="B25:C25"/>
    <mergeCell ref="B17:C17"/>
    <mergeCell ref="B20:C20"/>
    <mergeCell ref="B21:C21"/>
    <mergeCell ref="B22:C22"/>
    <mergeCell ref="B23:C23"/>
    <mergeCell ref="B24:C24"/>
  </mergeCell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3:I136"/>
  <sheetViews>
    <sheetView topLeftCell="A118" workbookViewId="0">
      <selection activeCell="H128" sqref="H128"/>
    </sheetView>
  </sheetViews>
  <sheetFormatPr defaultRowHeight="15" x14ac:dyDescent="0.2"/>
  <cols>
    <col min="1" max="1" width="22.5703125" style="18" customWidth="1"/>
    <col min="2" max="2" width="38.5703125" style="18" customWidth="1"/>
    <col min="3" max="3" width="26.7109375" style="18" customWidth="1"/>
    <col min="4" max="4" width="24.85546875" style="18" customWidth="1"/>
    <col min="5" max="5" width="16.140625" style="18" customWidth="1"/>
    <col min="6" max="9" width="9.140625" style="18"/>
  </cols>
  <sheetData>
    <row r="3" spans="1:9" ht="15.75" thickBot="1" x14ac:dyDescent="0.25"/>
    <row r="4" spans="1:9" s="13" customFormat="1" ht="12.75" x14ac:dyDescent="0.2">
      <c r="A4" s="305" t="s">
        <v>336</v>
      </c>
      <c r="B4" s="304" t="s">
        <v>337</v>
      </c>
      <c r="C4" s="304"/>
      <c r="D4" s="304"/>
      <c r="E4" s="61"/>
      <c r="F4" s="35"/>
      <c r="G4" s="35"/>
      <c r="H4" s="35"/>
      <c r="I4" s="35"/>
    </row>
    <row r="5" spans="1:9" s="13" customFormat="1" ht="12.75" x14ac:dyDescent="0.2">
      <c r="A5" s="306"/>
      <c r="B5" s="280" t="s">
        <v>338</v>
      </c>
      <c r="C5" s="280"/>
      <c r="D5" s="280"/>
      <c r="E5" s="59"/>
      <c r="F5" s="35"/>
      <c r="G5" s="35"/>
      <c r="H5" s="35"/>
      <c r="I5" s="35"/>
    </row>
    <row r="6" spans="1:9" s="13" customFormat="1" ht="12.75" x14ac:dyDescent="0.2">
      <c r="A6" s="306"/>
      <c r="B6" s="280" t="s">
        <v>339</v>
      </c>
      <c r="C6" s="280" t="s">
        <v>340</v>
      </c>
      <c r="D6" s="280"/>
      <c r="E6" s="59"/>
      <c r="F6" s="35"/>
      <c r="G6" s="35"/>
      <c r="H6" s="35"/>
      <c r="I6" s="35"/>
    </row>
    <row r="7" spans="1:9" s="13" customFormat="1" ht="12.75" x14ac:dyDescent="0.2">
      <c r="A7" s="306"/>
      <c r="B7" s="281"/>
      <c r="C7" s="280" t="s">
        <v>341</v>
      </c>
      <c r="D7" s="280"/>
      <c r="E7" s="59"/>
      <c r="F7" s="35"/>
      <c r="G7" s="35"/>
      <c r="H7" s="35"/>
      <c r="I7" s="35"/>
    </row>
    <row r="8" spans="1:9" s="13" customFormat="1" ht="12.75" x14ac:dyDescent="0.2">
      <c r="A8" s="306"/>
      <c r="B8" s="281"/>
      <c r="C8" s="280" t="s">
        <v>342</v>
      </c>
      <c r="D8" s="280"/>
      <c r="E8" s="59"/>
      <c r="F8" s="35"/>
      <c r="G8" s="35"/>
      <c r="H8" s="35"/>
      <c r="I8" s="35"/>
    </row>
    <row r="9" spans="1:9" s="13" customFormat="1" ht="12.75" x14ac:dyDescent="0.2">
      <c r="A9" s="306"/>
      <c r="B9" s="281"/>
      <c r="C9" s="280" t="s">
        <v>343</v>
      </c>
      <c r="D9" s="280"/>
      <c r="E9" s="59"/>
      <c r="F9" s="35"/>
      <c r="G9" s="35"/>
      <c r="H9" s="35"/>
      <c r="I9" s="35"/>
    </row>
    <row r="10" spans="1:9" s="13" customFormat="1" ht="12.75" x14ac:dyDescent="0.2">
      <c r="A10" s="306"/>
      <c r="B10" s="281"/>
      <c r="C10" s="280" t="s">
        <v>344</v>
      </c>
      <c r="D10" s="280"/>
      <c r="E10" s="59"/>
      <c r="F10" s="35"/>
      <c r="G10" s="35"/>
      <c r="H10" s="35"/>
      <c r="I10" s="35"/>
    </row>
    <row r="11" spans="1:9" s="13" customFormat="1" ht="12.75" x14ac:dyDescent="0.2">
      <c r="A11" s="306"/>
      <c r="B11" s="281"/>
      <c r="C11" s="280" t="s">
        <v>345</v>
      </c>
      <c r="D11" s="280"/>
      <c r="E11" s="59"/>
      <c r="F11" s="35"/>
      <c r="G11" s="35"/>
      <c r="H11" s="35"/>
      <c r="I11" s="35"/>
    </row>
    <row r="12" spans="1:9" s="13" customFormat="1" ht="12.75" x14ac:dyDescent="0.2">
      <c r="A12" s="306"/>
      <c r="B12" s="281"/>
      <c r="C12" s="280" t="s">
        <v>346</v>
      </c>
      <c r="D12" s="280"/>
      <c r="E12" s="59"/>
      <c r="F12" s="35"/>
      <c r="G12" s="35"/>
      <c r="H12" s="35"/>
      <c r="I12" s="35"/>
    </row>
    <row r="13" spans="1:9" s="13" customFormat="1" ht="12.75" x14ac:dyDescent="0.2">
      <c r="A13" s="306"/>
      <c r="B13" s="281"/>
      <c r="C13" s="280" t="s">
        <v>347</v>
      </c>
      <c r="D13" s="280"/>
      <c r="E13" s="59"/>
      <c r="F13" s="35"/>
      <c r="G13" s="35"/>
      <c r="H13" s="35"/>
      <c r="I13" s="35"/>
    </row>
    <row r="14" spans="1:9" s="13" customFormat="1" ht="15.75" customHeight="1" thickBot="1" x14ac:dyDescent="0.25">
      <c r="A14" s="307"/>
      <c r="B14" s="302" t="s">
        <v>390</v>
      </c>
      <c r="C14" s="302"/>
      <c r="D14" s="302"/>
      <c r="E14" s="60"/>
      <c r="F14" s="35"/>
      <c r="G14" s="35"/>
      <c r="H14" s="35"/>
      <c r="I14" s="35"/>
    </row>
    <row r="15" spans="1:9" s="3" customFormat="1" x14ac:dyDescent="0.2">
      <c r="A15" s="18"/>
      <c r="B15" s="18"/>
      <c r="C15" s="31"/>
      <c r="D15" s="31"/>
      <c r="E15" s="18"/>
      <c r="F15" s="18"/>
      <c r="G15" s="18"/>
      <c r="H15" s="18"/>
      <c r="I15" s="18"/>
    </row>
    <row r="16" spans="1:9" s="3" customFormat="1" ht="15.75" thickBot="1" x14ac:dyDescent="0.25">
      <c r="A16" s="18"/>
      <c r="B16" s="18"/>
      <c r="C16" s="31"/>
      <c r="D16" s="31"/>
      <c r="E16" s="18"/>
      <c r="F16" s="18"/>
      <c r="G16" s="18"/>
      <c r="H16" s="18"/>
      <c r="I16" s="18"/>
    </row>
    <row r="17" spans="1:9" s="13" customFormat="1" ht="12.75" x14ac:dyDescent="0.2">
      <c r="A17" s="305" t="s">
        <v>348</v>
      </c>
      <c r="B17" s="304" t="s">
        <v>349</v>
      </c>
      <c r="C17" s="304" t="s">
        <v>350</v>
      </c>
      <c r="D17" s="304"/>
      <c r="E17" s="62" t="s">
        <v>585</v>
      </c>
      <c r="F17" s="35"/>
      <c r="G17" s="35"/>
      <c r="H17" s="35"/>
      <c r="I17" s="35"/>
    </row>
    <row r="18" spans="1:9" s="13" customFormat="1" ht="12.75" x14ac:dyDescent="0.2">
      <c r="A18" s="313"/>
      <c r="B18" s="281"/>
      <c r="C18" s="280" t="s">
        <v>351</v>
      </c>
      <c r="D18" s="280"/>
      <c r="E18" s="71" t="s">
        <v>202</v>
      </c>
      <c r="F18" s="35"/>
      <c r="G18" s="35"/>
      <c r="H18" s="35"/>
      <c r="I18" s="35"/>
    </row>
    <row r="19" spans="1:9" s="13" customFormat="1" ht="12.75" x14ac:dyDescent="0.2">
      <c r="A19" s="313"/>
      <c r="B19" s="280" t="s">
        <v>352</v>
      </c>
      <c r="C19" s="280"/>
      <c r="D19" s="280"/>
      <c r="E19" s="63" t="s">
        <v>585</v>
      </c>
      <c r="F19" s="35"/>
      <c r="G19" s="35"/>
      <c r="H19" s="35"/>
      <c r="I19" s="35"/>
    </row>
    <row r="20" spans="1:9" s="13" customFormat="1" ht="13.5" thickBot="1" x14ac:dyDescent="0.25">
      <c r="A20" s="314"/>
      <c r="B20" s="302" t="s">
        <v>353</v>
      </c>
      <c r="C20" s="302"/>
      <c r="D20" s="302"/>
      <c r="E20" s="72">
        <v>90</v>
      </c>
      <c r="F20" s="35"/>
      <c r="G20" s="35"/>
      <c r="H20" s="35"/>
      <c r="I20" s="35"/>
    </row>
    <row r="21" spans="1:9" s="3" customFormat="1" x14ac:dyDescent="0.2">
      <c r="A21" s="18"/>
      <c r="B21" s="31"/>
      <c r="C21" s="31"/>
      <c r="D21" s="31"/>
      <c r="E21" s="18"/>
      <c r="F21" s="18"/>
      <c r="G21" s="18"/>
      <c r="H21" s="18"/>
      <c r="I21" s="18"/>
    </row>
    <row r="22" spans="1:9" s="3" customFormat="1" ht="15.75" thickBot="1" x14ac:dyDescent="0.25">
      <c r="A22" s="18"/>
      <c r="B22" s="31"/>
      <c r="C22" s="31"/>
      <c r="D22" s="31"/>
      <c r="E22" s="18"/>
      <c r="F22" s="18"/>
      <c r="G22" s="18"/>
      <c r="H22" s="18"/>
      <c r="I22" s="18"/>
    </row>
    <row r="23" spans="1:9" x14ac:dyDescent="0.2">
      <c r="A23" s="305" t="s">
        <v>354</v>
      </c>
      <c r="B23" s="304" t="s">
        <v>355</v>
      </c>
      <c r="C23" s="304" t="s">
        <v>281</v>
      </c>
      <c r="D23" s="49" t="s">
        <v>356</v>
      </c>
      <c r="E23" s="73">
        <v>5</v>
      </c>
    </row>
    <row r="24" spans="1:9" x14ac:dyDescent="0.2">
      <c r="A24" s="313"/>
      <c r="B24" s="281"/>
      <c r="C24" s="281"/>
      <c r="D24" s="40" t="s">
        <v>357</v>
      </c>
      <c r="E24" s="71">
        <v>10</v>
      </c>
    </row>
    <row r="25" spans="1:9" x14ac:dyDescent="0.2">
      <c r="A25" s="313"/>
      <c r="B25" s="281"/>
      <c r="C25" s="281"/>
      <c r="D25" s="40" t="s">
        <v>358</v>
      </c>
      <c r="E25" s="71">
        <v>10</v>
      </c>
    </row>
    <row r="26" spans="1:9" x14ac:dyDescent="0.2">
      <c r="A26" s="313"/>
      <c r="B26" s="281"/>
      <c r="C26" s="281"/>
      <c r="D26" s="40" t="s">
        <v>359</v>
      </c>
      <c r="E26" s="71">
        <v>5</v>
      </c>
    </row>
    <row r="27" spans="1:9" x14ac:dyDescent="0.2">
      <c r="A27" s="313"/>
      <c r="B27" s="281"/>
      <c r="C27" s="281"/>
      <c r="D27" s="40" t="s">
        <v>360</v>
      </c>
      <c r="E27" s="71">
        <v>5</v>
      </c>
    </row>
    <row r="28" spans="1:9" x14ac:dyDescent="0.2">
      <c r="A28" s="313"/>
      <c r="B28" s="281"/>
      <c r="C28" s="281"/>
      <c r="D28" s="40" t="s">
        <v>361</v>
      </c>
      <c r="E28" s="71">
        <v>30</v>
      </c>
    </row>
    <row r="29" spans="1:9" x14ac:dyDescent="0.2">
      <c r="A29" s="313"/>
      <c r="B29" s="281"/>
      <c r="C29" s="281"/>
      <c r="D29" s="40" t="s">
        <v>362</v>
      </c>
      <c r="E29" s="71">
        <v>0.03</v>
      </c>
    </row>
    <row r="30" spans="1:9" x14ac:dyDescent="0.2">
      <c r="A30" s="313"/>
      <c r="B30" s="281"/>
      <c r="C30" s="281"/>
      <c r="D30" s="40" t="s">
        <v>363</v>
      </c>
      <c r="E30" s="71">
        <v>10</v>
      </c>
    </row>
    <row r="31" spans="1:9" x14ac:dyDescent="0.2">
      <c r="A31" s="313"/>
      <c r="B31" s="281"/>
      <c r="C31" s="281"/>
      <c r="D31" s="40" t="s">
        <v>364</v>
      </c>
      <c r="E31" s="71">
        <v>10</v>
      </c>
    </row>
    <row r="32" spans="1:9" x14ac:dyDescent="0.2">
      <c r="A32" s="313"/>
      <c r="B32" s="281"/>
      <c r="C32" s="281"/>
      <c r="D32" s="40" t="s">
        <v>365</v>
      </c>
      <c r="E32" s="71">
        <v>10</v>
      </c>
    </row>
    <row r="33" spans="1:5" x14ac:dyDescent="0.2">
      <c r="A33" s="313"/>
      <c r="B33" s="281"/>
      <c r="C33" s="281"/>
      <c r="D33" s="40" t="s">
        <v>366</v>
      </c>
      <c r="E33" s="71">
        <v>0.02</v>
      </c>
    </row>
    <row r="34" spans="1:5" x14ac:dyDescent="0.2">
      <c r="A34" s="313"/>
      <c r="B34" s="281"/>
      <c r="C34" s="280" t="s">
        <v>334</v>
      </c>
      <c r="D34" s="40" t="s">
        <v>356</v>
      </c>
      <c r="E34" s="71">
        <v>30</v>
      </c>
    </row>
    <row r="35" spans="1:5" x14ac:dyDescent="0.2">
      <c r="A35" s="313"/>
      <c r="B35" s="281"/>
      <c r="C35" s="281"/>
      <c r="D35" s="40" t="s">
        <v>357</v>
      </c>
      <c r="E35" s="71">
        <v>40</v>
      </c>
    </row>
    <row r="36" spans="1:5" x14ac:dyDescent="0.2">
      <c r="A36" s="313"/>
      <c r="B36" s="281"/>
      <c r="C36" s="281"/>
      <c r="D36" s="40" t="s">
        <v>358</v>
      </c>
      <c r="E36" s="71">
        <v>40</v>
      </c>
    </row>
    <row r="37" spans="1:5" x14ac:dyDescent="0.2">
      <c r="A37" s="313"/>
      <c r="B37" s="281"/>
      <c r="C37" s="281"/>
      <c r="D37" s="40" t="s">
        <v>359</v>
      </c>
      <c r="E37" s="71">
        <v>10</v>
      </c>
    </row>
    <row r="38" spans="1:5" x14ac:dyDescent="0.2">
      <c r="A38" s="313"/>
      <c r="B38" s="281"/>
      <c r="C38" s="281"/>
      <c r="D38" s="40" t="s">
        <v>360</v>
      </c>
      <c r="E38" s="71">
        <v>10</v>
      </c>
    </row>
    <row r="39" spans="1:5" x14ac:dyDescent="0.2">
      <c r="A39" s="313"/>
      <c r="B39" s="281"/>
      <c r="C39" s="281"/>
      <c r="D39" s="40" t="s">
        <v>361</v>
      </c>
      <c r="E39" s="71">
        <v>30</v>
      </c>
    </row>
    <row r="40" spans="1:5" x14ac:dyDescent="0.2">
      <c r="A40" s="313"/>
      <c r="B40" s="281"/>
      <c r="C40" s="281"/>
      <c r="D40" s="40" t="s">
        <v>362</v>
      </c>
      <c r="E40" s="71">
        <v>0.03</v>
      </c>
    </row>
    <row r="41" spans="1:5" x14ac:dyDescent="0.2">
      <c r="A41" s="313"/>
      <c r="B41" s="281"/>
      <c r="C41" s="281"/>
      <c r="D41" s="40" t="s">
        <v>363</v>
      </c>
      <c r="E41" s="71">
        <v>40</v>
      </c>
    </row>
    <row r="42" spans="1:5" x14ac:dyDescent="0.2">
      <c r="A42" s="313"/>
      <c r="B42" s="281"/>
      <c r="C42" s="281"/>
      <c r="D42" s="40" t="s">
        <v>364</v>
      </c>
      <c r="E42" s="71">
        <v>40</v>
      </c>
    </row>
    <row r="43" spans="1:5" x14ac:dyDescent="0.2">
      <c r="A43" s="313"/>
      <c r="B43" s="281"/>
      <c r="C43" s="281"/>
      <c r="D43" s="40" t="s">
        <v>365</v>
      </c>
      <c r="E43" s="71">
        <v>40</v>
      </c>
    </row>
    <row r="44" spans="1:5" x14ac:dyDescent="0.2">
      <c r="A44" s="313"/>
      <c r="B44" s="281"/>
      <c r="C44" s="281"/>
      <c r="D44" s="40" t="s">
        <v>366</v>
      </c>
      <c r="E44" s="71">
        <v>0.02</v>
      </c>
    </row>
    <row r="45" spans="1:5" x14ac:dyDescent="0.2">
      <c r="A45" s="313"/>
      <c r="B45" s="281"/>
      <c r="C45" s="280" t="s">
        <v>367</v>
      </c>
      <c r="D45" s="40" t="s">
        <v>356</v>
      </c>
      <c r="E45" s="71">
        <v>5</v>
      </c>
    </row>
    <row r="46" spans="1:5" x14ac:dyDescent="0.2">
      <c r="A46" s="313"/>
      <c r="B46" s="281"/>
      <c r="C46" s="281"/>
      <c r="D46" s="40" t="s">
        <v>357</v>
      </c>
      <c r="E46" s="71">
        <v>10</v>
      </c>
    </row>
    <row r="47" spans="1:5" x14ac:dyDescent="0.2">
      <c r="A47" s="313"/>
      <c r="B47" s="281"/>
      <c r="C47" s="281"/>
      <c r="D47" s="40" t="s">
        <v>358</v>
      </c>
      <c r="E47" s="71">
        <v>10</v>
      </c>
    </row>
    <row r="48" spans="1:5" x14ac:dyDescent="0.2">
      <c r="A48" s="313"/>
      <c r="B48" s="281"/>
      <c r="C48" s="281"/>
      <c r="D48" s="40" t="s">
        <v>359</v>
      </c>
      <c r="E48" s="71">
        <v>5</v>
      </c>
    </row>
    <row r="49" spans="1:5" x14ac:dyDescent="0.2">
      <c r="A49" s="313"/>
      <c r="B49" s="281"/>
      <c r="C49" s="281"/>
      <c r="D49" s="40" t="s">
        <v>360</v>
      </c>
      <c r="E49" s="71">
        <v>5</v>
      </c>
    </row>
    <row r="50" spans="1:5" x14ac:dyDescent="0.2">
      <c r="A50" s="313"/>
      <c r="B50" s="281"/>
      <c r="C50" s="281"/>
      <c r="D50" s="40" t="s">
        <v>361</v>
      </c>
      <c r="E50" s="71">
        <v>30</v>
      </c>
    </row>
    <row r="51" spans="1:5" x14ac:dyDescent="0.2">
      <c r="A51" s="313"/>
      <c r="B51" s="281"/>
      <c r="C51" s="281"/>
      <c r="D51" s="40" t="s">
        <v>362</v>
      </c>
      <c r="E51" s="71">
        <v>0.03</v>
      </c>
    </row>
    <row r="52" spans="1:5" x14ac:dyDescent="0.2">
      <c r="A52" s="313"/>
      <c r="B52" s="281"/>
      <c r="C52" s="281"/>
      <c r="D52" s="40" t="s">
        <v>363</v>
      </c>
      <c r="E52" s="71">
        <v>10</v>
      </c>
    </row>
    <row r="53" spans="1:5" x14ac:dyDescent="0.2">
      <c r="A53" s="313"/>
      <c r="B53" s="281"/>
      <c r="C53" s="281"/>
      <c r="D53" s="40" t="s">
        <v>364</v>
      </c>
      <c r="E53" s="71">
        <v>10</v>
      </c>
    </row>
    <row r="54" spans="1:5" x14ac:dyDescent="0.2">
      <c r="A54" s="313"/>
      <c r="B54" s="281"/>
      <c r="C54" s="281"/>
      <c r="D54" s="40" t="s">
        <v>365</v>
      </c>
      <c r="E54" s="71">
        <v>10</v>
      </c>
    </row>
    <row r="55" spans="1:5" x14ac:dyDescent="0.2">
      <c r="A55" s="313"/>
      <c r="B55" s="281"/>
      <c r="C55" s="281"/>
      <c r="D55" s="40" t="s">
        <v>366</v>
      </c>
      <c r="E55" s="71">
        <v>0.02</v>
      </c>
    </row>
    <row r="56" spans="1:5" x14ac:dyDescent="0.2">
      <c r="A56" s="313"/>
      <c r="B56" s="281"/>
      <c r="C56" s="280" t="s">
        <v>368</v>
      </c>
      <c r="D56" s="40" t="s">
        <v>356</v>
      </c>
      <c r="E56" s="71">
        <v>30</v>
      </c>
    </row>
    <row r="57" spans="1:5" x14ac:dyDescent="0.2">
      <c r="A57" s="313"/>
      <c r="B57" s="281"/>
      <c r="C57" s="281"/>
      <c r="D57" s="40" t="s">
        <v>357</v>
      </c>
      <c r="E57" s="71">
        <v>50</v>
      </c>
    </row>
    <row r="58" spans="1:5" x14ac:dyDescent="0.2">
      <c r="A58" s="313"/>
      <c r="B58" s="281"/>
      <c r="C58" s="281"/>
      <c r="D58" s="40" t="s">
        <v>358</v>
      </c>
      <c r="E58" s="71">
        <v>50</v>
      </c>
    </row>
    <row r="59" spans="1:5" x14ac:dyDescent="0.2">
      <c r="A59" s="313"/>
      <c r="B59" s="281"/>
      <c r="C59" s="281"/>
      <c r="D59" s="40" t="s">
        <v>359</v>
      </c>
      <c r="E59" s="71">
        <v>20</v>
      </c>
    </row>
    <row r="60" spans="1:5" x14ac:dyDescent="0.2">
      <c r="A60" s="313"/>
      <c r="B60" s="281"/>
      <c r="C60" s="281"/>
      <c r="D60" s="40" t="s">
        <v>360</v>
      </c>
      <c r="E60" s="71">
        <v>10</v>
      </c>
    </row>
    <row r="61" spans="1:5" x14ac:dyDescent="0.2">
      <c r="A61" s="313"/>
      <c r="B61" s="281"/>
      <c r="C61" s="281"/>
      <c r="D61" s="40" t="s">
        <v>361</v>
      </c>
      <c r="E61" s="71">
        <v>30</v>
      </c>
    </row>
    <row r="62" spans="1:5" x14ac:dyDescent="0.2">
      <c r="A62" s="313"/>
      <c r="B62" s="281"/>
      <c r="C62" s="281"/>
      <c r="D62" s="40" t="s">
        <v>362</v>
      </c>
      <c r="E62" s="71">
        <v>0.03</v>
      </c>
    </row>
    <row r="63" spans="1:5" x14ac:dyDescent="0.2">
      <c r="A63" s="313"/>
      <c r="B63" s="281"/>
      <c r="C63" s="281"/>
      <c r="D63" s="40" t="s">
        <v>363</v>
      </c>
      <c r="E63" s="71">
        <v>50</v>
      </c>
    </row>
    <row r="64" spans="1:5" x14ac:dyDescent="0.2">
      <c r="A64" s="313"/>
      <c r="B64" s="281"/>
      <c r="C64" s="281"/>
      <c r="D64" s="40" t="s">
        <v>364</v>
      </c>
      <c r="E64" s="71">
        <v>50</v>
      </c>
    </row>
    <row r="65" spans="1:9" x14ac:dyDescent="0.2">
      <c r="A65" s="313"/>
      <c r="B65" s="281"/>
      <c r="C65" s="281"/>
      <c r="D65" s="40" t="s">
        <v>365</v>
      </c>
      <c r="E65" s="71">
        <v>50</v>
      </c>
    </row>
    <row r="66" spans="1:9" x14ac:dyDescent="0.2">
      <c r="A66" s="313"/>
      <c r="B66" s="281"/>
      <c r="C66" s="281"/>
      <c r="D66" s="40" t="s">
        <v>366</v>
      </c>
      <c r="E66" s="71">
        <v>0.02</v>
      </c>
    </row>
    <row r="67" spans="1:9" x14ac:dyDescent="0.2">
      <c r="A67" s="313"/>
      <c r="B67" s="281"/>
      <c r="C67" s="280" t="s">
        <v>369</v>
      </c>
      <c r="D67" s="40" t="s">
        <v>356</v>
      </c>
      <c r="E67" s="71">
        <v>5</v>
      </c>
    </row>
    <row r="68" spans="1:9" x14ac:dyDescent="0.2">
      <c r="A68" s="313"/>
      <c r="B68" s="281"/>
      <c r="C68" s="281"/>
      <c r="D68" s="40" t="s">
        <v>357</v>
      </c>
      <c r="E68" s="71">
        <v>10</v>
      </c>
    </row>
    <row r="69" spans="1:9" x14ac:dyDescent="0.2">
      <c r="A69" s="313"/>
      <c r="B69" s="281"/>
      <c r="C69" s="281"/>
      <c r="D69" s="40" t="s">
        <v>358</v>
      </c>
      <c r="E69" s="71">
        <v>10</v>
      </c>
    </row>
    <row r="70" spans="1:9" x14ac:dyDescent="0.2">
      <c r="A70" s="313"/>
      <c r="B70" s="281"/>
      <c r="C70" s="281"/>
      <c r="D70" s="40" t="s">
        <v>359</v>
      </c>
      <c r="E70" s="71">
        <v>5</v>
      </c>
    </row>
    <row r="71" spans="1:9" x14ac:dyDescent="0.2">
      <c r="A71" s="313"/>
      <c r="B71" s="281"/>
      <c r="C71" s="281"/>
      <c r="D71" s="40" t="s">
        <v>360</v>
      </c>
      <c r="E71" s="71">
        <v>5</v>
      </c>
    </row>
    <row r="72" spans="1:9" x14ac:dyDescent="0.2">
      <c r="A72" s="313"/>
      <c r="B72" s="281"/>
      <c r="C72" s="281"/>
      <c r="D72" s="40" t="s">
        <v>361</v>
      </c>
      <c r="E72" s="71">
        <v>30</v>
      </c>
    </row>
    <row r="73" spans="1:9" x14ac:dyDescent="0.2">
      <c r="A73" s="313"/>
      <c r="B73" s="281"/>
      <c r="C73" s="281"/>
      <c r="D73" s="40" t="s">
        <v>362</v>
      </c>
      <c r="E73" s="71">
        <v>0.03</v>
      </c>
    </row>
    <row r="74" spans="1:9" x14ac:dyDescent="0.2">
      <c r="A74" s="313"/>
      <c r="B74" s="281"/>
      <c r="C74" s="281"/>
      <c r="D74" s="40" t="s">
        <v>363</v>
      </c>
      <c r="E74" s="71">
        <v>10</v>
      </c>
    </row>
    <row r="75" spans="1:9" x14ac:dyDescent="0.2">
      <c r="A75" s="313"/>
      <c r="B75" s="281"/>
      <c r="C75" s="281"/>
      <c r="D75" s="40" t="s">
        <v>364</v>
      </c>
      <c r="E75" s="71">
        <v>10</v>
      </c>
    </row>
    <row r="76" spans="1:9" x14ac:dyDescent="0.2">
      <c r="A76" s="313"/>
      <c r="B76" s="281"/>
      <c r="C76" s="281"/>
      <c r="D76" s="40" t="s">
        <v>365</v>
      </c>
      <c r="E76" s="71">
        <v>10</v>
      </c>
    </row>
    <row r="77" spans="1:9" ht="15.75" thickBot="1" x14ac:dyDescent="0.25">
      <c r="A77" s="314"/>
      <c r="B77" s="319"/>
      <c r="C77" s="319"/>
      <c r="D77" s="42" t="s">
        <v>366</v>
      </c>
      <c r="E77" s="72">
        <v>0.02</v>
      </c>
    </row>
    <row r="78" spans="1:9" s="3" customFormat="1" x14ac:dyDescent="0.2">
      <c r="A78" s="18"/>
      <c r="B78" s="18"/>
      <c r="C78" s="18"/>
      <c r="D78" s="31"/>
      <c r="E78" s="18"/>
      <c r="F78" s="18"/>
      <c r="G78" s="18"/>
      <c r="H78" s="18"/>
      <c r="I78" s="18"/>
    </row>
    <row r="79" spans="1:9" s="3" customFormat="1" ht="15.75" thickBot="1" x14ac:dyDescent="0.25">
      <c r="A79" s="18"/>
      <c r="B79" s="18"/>
      <c r="C79" s="18"/>
      <c r="D79" s="31"/>
      <c r="E79" s="18"/>
      <c r="F79" s="18"/>
      <c r="G79" s="18"/>
      <c r="H79" s="18"/>
      <c r="I79" s="18"/>
    </row>
    <row r="80" spans="1:9" s="13" customFormat="1" ht="12.75" x14ac:dyDescent="0.2">
      <c r="A80" s="305" t="s">
        <v>370</v>
      </c>
      <c r="B80" s="304" t="s">
        <v>214</v>
      </c>
      <c r="C80" s="304" t="s">
        <v>68</v>
      </c>
      <c r="D80" s="304"/>
      <c r="E80" s="62" t="s">
        <v>585</v>
      </c>
      <c r="F80" s="35"/>
      <c r="G80" s="35"/>
      <c r="H80" s="35"/>
      <c r="I80" s="35"/>
    </row>
    <row r="81" spans="1:9" s="13" customFormat="1" ht="12.75" x14ac:dyDescent="0.2">
      <c r="A81" s="313"/>
      <c r="B81" s="281"/>
      <c r="C81" s="280" t="s">
        <v>371</v>
      </c>
      <c r="D81" s="280"/>
      <c r="E81" s="71" t="s">
        <v>202</v>
      </c>
      <c r="F81" s="35"/>
      <c r="G81" s="35"/>
      <c r="H81" s="35"/>
      <c r="I81" s="35"/>
    </row>
    <row r="82" spans="1:9" s="13" customFormat="1" ht="12.75" x14ac:dyDescent="0.2">
      <c r="A82" s="313"/>
      <c r="B82" s="281"/>
      <c r="C82" s="280" t="s">
        <v>372</v>
      </c>
      <c r="D82" s="280"/>
      <c r="E82" s="63" t="s">
        <v>585</v>
      </c>
      <c r="F82" s="35"/>
      <c r="G82" s="35"/>
      <c r="H82" s="35"/>
      <c r="I82" s="35"/>
    </row>
    <row r="83" spans="1:9" s="13" customFormat="1" ht="12.75" x14ac:dyDescent="0.2">
      <c r="A83" s="313"/>
      <c r="B83" s="281"/>
      <c r="C83" s="280" t="s">
        <v>373</v>
      </c>
      <c r="D83" s="280"/>
      <c r="E83" s="63" t="s">
        <v>585</v>
      </c>
      <c r="F83" s="35"/>
      <c r="G83" s="35"/>
      <c r="H83" s="35"/>
      <c r="I83" s="35"/>
    </row>
    <row r="84" spans="1:9" s="13" customFormat="1" ht="12.75" x14ac:dyDescent="0.2">
      <c r="A84" s="313"/>
      <c r="B84" s="281"/>
      <c r="C84" s="280" t="s">
        <v>374</v>
      </c>
      <c r="D84" s="280"/>
      <c r="E84" s="63" t="s">
        <v>585</v>
      </c>
      <c r="F84" s="35"/>
      <c r="G84" s="35"/>
      <c r="H84" s="35"/>
      <c r="I84" s="35"/>
    </row>
    <row r="85" spans="1:9" s="13" customFormat="1" ht="12.75" x14ac:dyDescent="0.2">
      <c r="A85" s="313"/>
      <c r="B85" s="280" t="s">
        <v>375</v>
      </c>
      <c r="C85" s="280" t="s">
        <v>68</v>
      </c>
      <c r="D85" s="280"/>
      <c r="E85" s="63" t="s">
        <v>585</v>
      </c>
      <c r="F85" s="35"/>
      <c r="G85" s="35"/>
      <c r="H85" s="35"/>
      <c r="I85" s="35"/>
    </row>
    <row r="86" spans="1:9" s="13" customFormat="1" ht="12.75" x14ac:dyDescent="0.2">
      <c r="A86" s="313"/>
      <c r="B86" s="281"/>
      <c r="C86" s="280" t="s">
        <v>371</v>
      </c>
      <c r="D86" s="280"/>
      <c r="E86" s="71" t="s">
        <v>202</v>
      </c>
      <c r="F86" s="35"/>
      <c r="G86" s="35"/>
      <c r="H86" s="35"/>
      <c r="I86" s="35"/>
    </row>
    <row r="87" spans="1:9" s="13" customFormat="1" ht="12.75" x14ac:dyDescent="0.2">
      <c r="A87" s="313"/>
      <c r="B87" s="281"/>
      <c r="C87" s="280" t="s">
        <v>372</v>
      </c>
      <c r="D87" s="280"/>
      <c r="E87" s="63" t="s">
        <v>585</v>
      </c>
      <c r="F87" s="35"/>
      <c r="G87" s="35"/>
      <c r="H87" s="35"/>
      <c r="I87" s="35"/>
    </row>
    <row r="88" spans="1:9" s="13" customFormat="1" ht="12.75" x14ac:dyDescent="0.2">
      <c r="A88" s="313"/>
      <c r="B88" s="281"/>
      <c r="C88" s="280" t="s">
        <v>373</v>
      </c>
      <c r="D88" s="280"/>
      <c r="E88" s="63" t="s">
        <v>585</v>
      </c>
      <c r="F88" s="35"/>
      <c r="G88" s="35"/>
      <c r="H88" s="35"/>
      <c r="I88" s="35"/>
    </row>
    <row r="89" spans="1:9" s="13" customFormat="1" ht="13.5" thickBot="1" x14ac:dyDescent="0.25">
      <c r="A89" s="314"/>
      <c r="B89" s="319"/>
      <c r="C89" s="302" t="s">
        <v>374</v>
      </c>
      <c r="D89" s="302"/>
      <c r="E89" s="64" t="s">
        <v>585</v>
      </c>
      <c r="F89" s="35"/>
      <c r="G89" s="35"/>
      <c r="H89" s="35"/>
      <c r="I89" s="35"/>
    </row>
    <row r="90" spans="1:9" s="3" customFormat="1" x14ac:dyDescent="0.2">
      <c r="A90" s="18"/>
      <c r="B90" s="18"/>
      <c r="C90" s="31"/>
      <c r="D90" s="31"/>
      <c r="E90" s="18"/>
      <c r="F90" s="18"/>
      <c r="G90" s="18"/>
      <c r="H90" s="18"/>
      <c r="I90" s="18"/>
    </row>
    <row r="91" spans="1:9" s="3" customFormat="1" ht="15.75" thickBot="1" x14ac:dyDescent="0.25">
      <c r="A91" s="18"/>
      <c r="B91" s="18"/>
      <c r="C91" s="31"/>
      <c r="D91" s="31"/>
      <c r="E91" s="18"/>
      <c r="F91" s="18"/>
      <c r="G91" s="18"/>
      <c r="H91" s="18"/>
      <c r="I91" s="18"/>
    </row>
    <row r="92" spans="1:9" s="13" customFormat="1" ht="12.75" x14ac:dyDescent="0.2">
      <c r="A92" s="305" t="s">
        <v>376</v>
      </c>
      <c r="B92" s="304" t="s">
        <v>377</v>
      </c>
      <c r="C92" s="304" t="s">
        <v>378</v>
      </c>
      <c r="D92" s="304"/>
      <c r="E92" s="73" t="s">
        <v>202</v>
      </c>
      <c r="F92" s="35"/>
      <c r="G92" s="35"/>
      <c r="H92" s="35"/>
      <c r="I92" s="35"/>
    </row>
    <row r="93" spans="1:9" s="13" customFormat="1" ht="12.75" x14ac:dyDescent="0.2">
      <c r="A93" s="313"/>
      <c r="B93" s="281"/>
      <c r="C93" s="280" t="s">
        <v>379</v>
      </c>
      <c r="D93" s="280"/>
      <c r="E93" s="63" t="s">
        <v>585</v>
      </c>
      <c r="F93" s="35"/>
      <c r="G93" s="35"/>
      <c r="H93" s="35"/>
      <c r="I93" s="35"/>
    </row>
    <row r="94" spans="1:9" s="13" customFormat="1" ht="12.75" x14ac:dyDescent="0.2">
      <c r="A94" s="313"/>
      <c r="B94" s="281"/>
      <c r="C94" s="280" t="s">
        <v>68</v>
      </c>
      <c r="D94" s="280"/>
      <c r="E94" s="63" t="s">
        <v>585</v>
      </c>
      <c r="F94" s="35"/>
      <c r="G94" s="35"/>
      <c r="H94" s="35"/>
      <c r="I94" s="35"/>
    </row>
    <row r="95" spans="1:9" s="13" customFormat="1" ht="13.5" thickBot="1" x14ac:dyDescent="0.25">
      <c r="A95" s="314"/>
      <c r="B95" s="302" t="s">
        <v>380</v>
      </c>
      <c r="C95" s="302"/>
      <c r="D95" s="302"/>
      <c r="E95" s="72">
        <v>20</v>
      </c>
      <c r="F95" s="35"/>
      <c r="G95" s="35"/>
      <c r="H95" s="35"/>
      <c r="I95" s="35"/>
    </row>
    <row r="96" spans="1:9" s="3" customFormat="1" x14ac:dyDescent="0.2">
      <c r="A96" s="18"/>
      <c r="B96" s="31"/>
      <c r="C96" s="31"/>
      <c r="D96" s="31"/>
      <c r="E96" s="18"/>
      <c r="F96" s="18"/>
      <c r="G96" s="18"/>
      <c r="H96" s="18"/>
      <c r="I96" s="18"/>
    </row>
    <row r="97" spans="1:9" s="3" customFormat="1" ht="15.75" thickBot="1" x14ac:dyDescent="0.25">
      <c r="A97" s="18"/>
      <c r="B97" s="31"/>
      <c r="C97" s="31"/>
      <c r="D97" s="31"/>
      <c r="E97" s="18"/>
      <c r="F97" s="18"/>
      <c r="G97" s="18"/>
      <c r="H97" s="18"/>
      <c r="I97" s="18"/>
    </row>
    <row r="98" spans="1:9" s="13" customFormat="1" ht="12.75" x14ac:dyDescent="0.2">
      <c r="A98" s="305" t="s">
        <v>381</v>
      </c>
      <c r="B98" s="304" t="s">
        <v>382</v>
      </c>
      <c r="C98" s="304"/>
      <c r="D98" s="304"/>
      <c r="E98" s="73" t="s">
        <v>202</v>
      </c>
      <c r="F98" s="35"/>
      <c r="G98" s="35"/>
      <c r="H98" s="35"/>
      <c r="I98" s="35"/>
    </row>
    <row r="99" spans="1:9" s="13" customFormat="1" ht="12.75" x14ac:dyDescent="0.2">
      <c r="A99" s="313"/>
      <c r="B99" s="280" t="s">
        <v>383</v>
      </c>
      <c r="C99" s="280"/>
      <c r="D99" s="280"/>
      <c r="E99" s="71">
        <v>0</v>
      </c>
      <c r="F99" s="35"/>
      <c r="G99" s="35"/>
      <c r="H99" s="35"/>
      <c r="I99" s="35"/>
    </row>
    <row r="100" spans="1:9" s="13" customFormat="1" ht="12.75" x14ac:dyDescent="0.2">
      <c r="A100" s="313"/>
      <c r="B100" s="280" t="s">
        <v>384</v>
      </c>
      <c r="C100" s="280"/>
      <c r="D100" s="280"/>
      <c r="E100" s="63" t="s">
        <v>585</v>
      </c>
      <c r="F100" s="35"/>
      <c r="G100" s="35"/>
      <c r="H100" s="35"/>
      <c r="I100" s="35"/>
    </row>
    <row r="101" spans="1:9" s="13" customFormat="1" ht="12.75" x14ac:dyDescent="0.2">
      <c r="A101" s="313"/>
      <c r="B101" s="280" t="s">
        <v>385</v>
      </c>
      <c r="C101" s="280"/>
      <c r="D101" s="280"/>
      <c r="E101" s="71" t="s">
        <v>202</v>
      </c>
      <c r="F101" s="35"/>
      <c r="G101" s="35"/>
      <c r="H101" s="35"/>
      <c r="I101" s="35"/>
    </row>
    <row r="102" spans="1:9" s="13" customFormat="1" ht="12.75" x14ac:dyDescent="0.2">
      <c r="A102" s="313"/>
      <c r="B102" s="280" t="s">
        <v>386</v>
      </c>
      <c r="C102" s="280"/>
      <c r="D102" s="280"/>
      <c r="E102" s="71">
        <v>0</v>
      </c>
      <c r="F102" s="35"/>
      <c r="G102" s="35"/>
      <c r="H102" s="35"/>
      <c r="I102" s="35"/>
    </row>
    <row r="103" spans="1:9" s="13" customFormat="1" ht="12.75" x14ac:dyDescent="0.2">
      <c r="A103" s="313"/>
      <c r="B103" s="280" t="s">
        <v>387</v>
      </c>
      <c r="C103" s="280"/>
      <c r="D103" s="280"/>
      <c r="E103" s="71">
        <v>0</v>
      </c>
      <c r="F103" s="35"/>
      <c r="G103" s="35"/>
      <c r="H103" s="35"/>
      <c r="I103" s="35"/>
    </row>
    <row r="104" spans="1:9" s="13" customFormat="1" ht="12.75" x14ac:dyDescent="0.2">
      <c r="A104" s="313"/>
      <c r="B104" s="280" t="s">
        <v>388</v>
      </c>
      <c r="C104" s="280"/>
      <c r="D104" s="280"/>
      <c r="E104" s="71">
        <v>101.325</v>
      </c>
      <c r="F104" s="35"/>
      <c r="G104" s="35"/>
      <c r="H104" s="35"/>
      <c r="I104" s="35"/>
    </row>
    <row r="105" spans="1:9" s="13" customFormat="1" ht="13.5" thickBot="1" x14ac:dyDescent="0.25">
      <c r="A105" s="314"/>
      <c r="B105" s="302" t="s">
        <v>389</v>
      </c>
      <c r="C105" s="302"/>
      <c r="D105" s="302"/>
      <c r="E105" s="72">
        <v>22</v>
      </c>
      <c r="F105" s="35"/>
      <c r="G105" s="35"/>
      <c r="H105" s="35"/>
      <c r="I105" s="35"/>
    </row>
    <row r="106" spans="1:9" s="3" customFormat="1" x14ac:dyDescent="0.2">
      <c r="A106" s="18"/>
      <c r="B106" s="31"/>
      <c r="C106" s="31"/>
      <c r="D106" s="31"/>
      <c r="E106" s="18"/>
      <c r="F106" s="18"/>
      <c r="G106" s="18"/>
      <c r="H106" s="18"/>
      <c r="I106" s="18"/>
    </row>
    <row r="107" spans="1:9" s="3" customFormat="1" ht="15.75" thickBot="1" x14ac:dyDescent="0.25">
      <c r="A107" s="18"/>
      <c r="B107" s="31"/>
      <c r="C107" s="31"/>
      <c r="D107" s="31"/>
      <c r="E107" s="18"/>
      <c r="F107" s="18"/>
      <c r="G107" s="18"/>
      <c r="H107" s="18"/>
      <c r="I107" s="18"/>
    </row>
    <row r="108" spans="1:9" x14ac:dyDescent="0.2">
      <c r="A108" s="415" t="s">
        <v>943</v>
      </c>
      <c r="B108" s="420" t="s">
        <v>944</v>
      </c>
      <c r="C108" s="421"/>
      <c r="D108" s="422"/>
      <c r="E108" s="238"/>
    </row>
    <row r="109" spans="1:9" x14ac:dyDescent="0.2">
      <c r="A109" s="416"/>
      <c r="B109" s="412" t="s">
        <v>945</v>
      </c>
      <c r="C109" s="413"/>
      <c r="D109" s="414"/>
      <c r="E109" s="240" t="s">
        <v>202</v>
      </c>
    </row>
    <row r="110" spans="1:9" x14ac:dyDescent="0.2">
      <c r="A110" s="416"/>
      <c r="B110" s="412" t="s">
        <v>946</v>
      </c>
      <c r="C110" s="413"/>
      <c r="D110" s="414"/>
      <c r="E110" s="240"/>
    </row>
    <row r="111" spans="1:9" x14ac:dyDescent="0.2">
      <c r="A111" s="416"/>
      <c r="B111" s="412" t="s">
        <v>947</v>
      </c>
      <c r="C111" s="413"/>
      <c r="D111" s="414"/>
      <c r="E111" s="240">
        <v>30</v>
      </c>
    </row>
    <row r="112" spans="1:9" x14ac:dyDescent="0.2">
      <c r="A112" s="416"/>
      <c r="B112" s="412" t="s">
        <v>948</v>
      </c>
      <c r="C112" s="413"/>
      <c r="D112" s="414"/>
      <c r="E112" s="240"/>
    </row>
    <row r="113" spans="1:5" x14ac:dyDescent="0.2">
      <c r="A113" s="416"/>
      <c r="B113" s="418" t="s">
        <v>949</v>
      </c>
      <c r="C113" s="412" t="s">
        <v>973</v>
      </c>
      <c r="D113" s="414"/>
      <c r="E113" s="240" t="s">
        <v>202</v>
      </c>
    </row>
    <row r="114" spans="1:5" x14ac:dyDescent="0.2">
      <c r="A114" s="416"/>
      <c r="B114" s="419"/>
      <c r="C114" s="412" t="s">
        <v>950</v>
      </c>
      <c r="D114" s="414"/>
      <c r="E114" s="240"/>
    </row>
    <row r="115" spans="1:5" x14ac:dyDescent="0.2">
      <c r="A115" s="416"/>
      <c r="B115" s="419"/>
      <c r="C115" s="412" t="s">
        <v>951</v>
      </c>
      <c r="D115" s="414"/>
      <c r="E115" s="240"/>
    </row>
    <row r="116" spans="1:5" x14ac:dyDescent="0.2">
      <c r="A116" s="416"/>
      <c r="B116" s="419"/>
      <c r="C116" s="412" t="s">
        <v>952</v>
      </c>
      <c r="D116" s="414"/>
      <c r="E116" s="240"/>
    </row>
    <row r="117" spans="1:5" x14ac:dyDescent="0.2">
      <c r="A117" s="416"/>
      <c r="B117" s="412" t="s">
        <v>953</v>
      </c>
      <c r="C117" s="413"/>
      <c r="D117" s="414"/>
      <c r="E117" s="240" t="s">
        <v>202</v>
      </c>
    </row>
    <row r="118" spans="1:5" x14ac:dyDescent="0.2">
      <c r="A118" s="416"/>
      <c r="B118" s="412" t="s">
        <v>954</v>
      </c>
      <c r="C118" s="413"/>
      <c r="D118" s="414"/>
      <c r="E118" s="240">
        <v>60</v>
      </c>
    </row>
    <row r="119" spans="1:5" x14ac:dyDescent="0.2">
      <c r="A119" s="416"/>
      <c r="B119" s="412" t="s">
        <v>955</v>
      </c>
      <c r="C119" s="413"/>
      <c r="D119" s="414"/>
      <c r="E119" s="240"/>
    </row>
    <row r="120" spans="1:5" x14ac:dyDescent="0.2">
      <c r="A120" s="416"/>
      <c r="B120" s="412" t="s">
        <v>956</v>
      </c>
      <c r="C120" s="413"/>
      <c r="D120" s="414"/>
      <c r="E120" s="240">
        <v>30</v>
      </c>
    </row>
    <row r="121" spans="1:5" x14ac:dyDescent="0.2">
      <c r="A121" s="416"/>
      <c r="B121" s="412" t="s">
        <v>957</v>
      </c>
      <c r="C121" s="413"/>
      <c r="D121" s="414"/>
      <c r="E121" s="240">
        <v>30</v>
      </c>
    </row>
    <row r="122" spans="1:5" x14ac:dyDescent="0.2">
      <c r="A122" s="416"/>
      <c r="B122" s="412" t="s">
        <v>958</v>
      </c>
      <c r="C122" s="413"/>
      <c r="D122" s="414"/>
      <c r="E122" s="240">
        <v>0</v>
      </c>
    </row>
    <row r="123" spans="1:5" x14ac:dyDescent="0.2">
      <c r="A123" s="416"/>
      <c r="B123" s="412" t="s">
        <v>959</v>
      </c>
      <c r="C123" s="413"/>
      <c r="D123" s="414"/>
      <c r="E123" s="240"/>
    </row>
    <row r="124" spans="1:5" x14ac:dyDescent="0.2">
      <c r="A124" s="416"/>
      <c r="B124" s="412" t="s">
        <v>960</v>
      </c>
      <c r="C124" s="413"/>
      <c r="D124" s="414"/>
      <c r="E124" s="240"/>
    </row>
    <row r="125" spans="1:5" x14ac:dyDescent="0.2">
      <c r="A125" s="416"/>
      <c r="B125" s="412" t="s">
        <v>961</v>
      </c>
      <c r="C125" s="413"/>
      <c r="D125" s="414"/>
      <c r="E125" s="240" t="s">
        <v>202</v>
      </c>
    </row>
    <row r="126" spans="1:5" x14ac:dyDescent="0.2">
      <c r="A126" s="416"/>
      <c r="B126" s="412" t="s">
        <v>962</v>
      </c>
      <c r="C126" s="413"/>
      <c r="D126" s="414"/>
      <c r="E126" s="240" t="s">
        <v>202</v>
      </c>
    </row>
    <row r="127" spans="1:5" x14ac:dyDescent="0.2">
      <c r="A127" s="416"/>
      <c r="B127" s="412" t="s">
        <v>963</v>
      </c>
      <c r="C127" s="413"/>
      <c r="D127" s="414"/>
      <c r="E127" s="240"/>
    </row>
    <row r="128" spans="1:5" x14ac:dyDescent="0.2">
      <c r="A128" s="416"/>
      <c r="B128" s="412" t="s">
        <v>964</v>
      </c>
      <c r="C128" s="413"/>
      <c r="D128" s="414"/>
      <c r="E128" s="240"/>
    </row>
    <row r="129" spans="1:5" x14ac:dyDescent="0.2">
      <c r="A129" s="416"/>
      <c r="B129" s="412" t="s">
        <v>965</v>
      </c>
      <c r="C129" s="413"/>
      <c r="D129" s="414"/>
      <c r="E129" s="240"/>
    </row>
    <row r="130" spans="1:5" x14ac:dyDescent="0.2">
      <c r="A130" s="416"/>
      <c r="B130" s="412" t="s">
        <v>966</v>
      </c>
      <c r="C130" s="413"/>
      <c r="D130" s="414"/>
      <c r="E130" s="240"/>
    </row>
    <row r="131" spans="1:5" x14ac:dyDescent="0.2">
      <c r="A131" s="416"/>
      <c r="B131" s="412" t="s">
        <v>967</v>
      </c>
      <c r="C131" s="413"/>
      <c r="D131" s="414"/>
      <c r="E131" s="240">
        <v>0</v>
      </c>
    </row>
    <row r="132" spans="1:5" x14ac:dyDescent="0.2">
      <c r="A132" s="416"/>
      <c r="B132" s="412" t="s">
        <v>968</v>
      </c>
      <c r="C132" s="413"/>
      <c r="D132" s="414"/>
      <c r="E132" s="240">
        <v>30</v>
      </c>
    </row>
    <row r="133" spans="1:5" x14ac:dyDescent="0.2">
      <c r="A133" s="416"/>
      <c r="B133" s="418" t="s">
        <v>969</v>
      </c>
      <c r="C133" s="412" t="s">
        <v>679</v>
      </c>
      <c r="D133" s="414"/>
      <c r="E133" s="240" t="s">
        <v>202</v>
      </c>
    </row>
    <row r="134" spans="1:5" x14ac:dyDescent="0.2">
      <c r="A134" s="416"/>
      <c r="B134" s="419"/>
      <c r="C134" s="412" t="s">
        <v>970</v>
      </c>
      <c r="D134" s="414"/>
      <c r="E134" s="240"/>
    </row>
    <row r="135" spans="1:5" x14ac:dyDescent="0.2">
      <c r="A135" s="416"/>
      <c r="B135" s="419"/>
      <c r="C135" s="412" t="s">
        <v>971</v>
      </c>
      <c r="D135" s="414"/>
      <c r="E135" s="240"/>
    </row>
    <row r="136" spans="1:5" ht="15.75" thickBot="1" x14ac:dyDescent="0.25">
      <c r="A136" s="417"/>
      <c r="B136" s="409" t="s">
        <v>972</v>
      </c>
      <c r="C136" s="410"/>
      <c r="D136" s="411"/>
      <c r="E136" s="244"/>
    </row>
  </sheetData>
  <mergeCells count="86">
    <mergeCell ref="A4:A14"/>
    <mergeCell ref="B99:D99"/>
    <mergeCell ref="B100:D100"/>
    <mergeCell ref="B101:D101"/>
    <mergeCell ref="B102:D102"/>
    <mergeCell ref="C89:D89"/>
    <mergeCell ref="C92:D92"/>
    <mergeCell ref="C93:D93"/>
    <mergeCell ref="C94:D94"/>
    <mergeCell ref="B95:D95"/>
    <mergeCell ref="C88:D88"/>
    <mergeCell ref="C13:D13"/>
    <mergeCell ref="B6:B13"/>
    <mergeCell ref="A23:A77"/>
    <mergeCell ref="A92:A95"/>
    <mergeCell ref="B92:B94"/>
    <mergeCell ref="A17:A20"/>
    <mergeCell ref="B17:B18"/>
    <mergeCell ref="B105:D105"/>
    <mergeCell ref="B103:D103"/>
    <mergeCell ref="B104:D104"/>
    <mergeCell ref="C56:C66"/>
    <mergeCell ref="C67:C77"/>
    <mergeCell ref="C17:D17"/>
    <mergeCell ref="C18:D18"/>
    <mergeCell ref="B19:D19"/>
    <mergeCell ref="B20:D20"/>
    <mergeCell ref="C81:D81"/>
    <mergeCell ref="C82:D82"/>
    <mergeCell ref="A80:A89"/>
    <mergeCell ref="B80:B84"/>
    <mergeCell ref="B85:B89"/>
    <mergeCell ref="C9:D9"/>
    <mergeCell ref="C10:D10"/>
    <mergeCell ref="C11:D11"/>
    <mergeCell ref="C12:D12"/>
    <mergeCell ref="C23:C33"/>
    <mergeCell ref="B14:D14"/>
    <mergeCell ref="B23:B77"/>
    <mergeCell ref="C34:C44"/>
    <mergeCell ref="C45:C55"/>
    <mergeCell ref="B4:D4"/>
    <mergeCell ref="B5:D5"/>
    <mergeCell ref="C6:D6"/>
    <mergeCell ref="C7:D7"/>
    <mergeCell ref="C8:D8"/>
    <mergeCell ref="C80:D80"/>
    <mergeCell ref="A98:A105"/>
    <mergeCell ref="B98:D98"/>
    <mergeCell ref="C83:D83"/>
    <mergeCell ref="C84:D84"/>
    <mergeCell ref="C85:D85"/>
    <mergeCell ref="C86:D86"/>
    <mergeCell ref="C87:D87"/>
    <mergeCell ref="A108:A136"/>
    <mergeCell ref="B113:B116"/>
    <mergeCell ref="B133:B135"/>
    <mergeCell ref="B108:D108"/>
    <mergeCell ref="B109:D109"/>
    <mergeCell ref="B110:D110"/>
    <mergeCell ref="B111:D111"/>
    <mergeCell ref="B112:D112"/>
    <mergeCell ref="C113:D113"/>
    <mergeCell ref="C114:D114"/>
    <mergeCell ref="C115:D115"/>
    <mergeCell ref="C116:D116"/>
    <mergeCell ref="B117:D117"/>
    <mergeCell ref="B118:D118"/>
    <mergeCell ref="B119:D119"/>
    <mergeCell ref="B120:D120"/>
    <mergeCell ref="B121:D121"/>
    <mergeCell ref="B122:D122"/>
    <mergeCell ref="B123:D123"/>
    <mergeCell ref="B124:D124"/>
    <mergeCell ref="B125:D125"/>
    <mergeCell ref="B126:D126"/>
    <mergeCell ref="B127:D127"/>
    <mergeCell ref="B128:D128"/>
    <mergeCell ref="B129:D129"/>
    <mergeCell ref="B130:D130"/>
    <mergeCell ref="B136:D136"/>
    <mergeCell ref="B131:D131"/>
    <mergeCell ref="B132:D132"/>
    <mergeCell ref="C133:D133"/>
    <mergeCell ref="C134:D134"/>
    <mergeCell ref="C135:D135"/>
  </mergeCell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2:F189"/>
  <sheetViews>
    <sheetView zoomScale="80" zoomScaleNormal="80" workbookViewId="0">
      <selection activeCell="A50" sqref="A50"/>
    </sheetView>
  </sheetViews>
  <sheetFormatPr defaultColWidth="9.140625" defaultRowHeight="12.75" x14ac:dyDescent="0.2"/>
  <cols>
    <col min="1" max="1" width="67.5703125" style="3" bestFit="1" customWidth="1"/>
    <col min="2" max="2" width="57.5703125" style="3" bestFit="1" customWidth="1"/>
    <col min="3" max="3" width="43.85546875" style="3" customWidth="1"/>
    <col min="4" max="4" width="61.85546875" style="4" bestFit="1" customWidth="1"/>
    <col min="5" max="5" width="22.42578125" style="3" bestFit="1" customWidth="1"/>
    <col min="6" max="6" width="23.28515625" style="3" bestFit="1" customWidth="1"/>
    <col min="7" max="16384" width="9.140625" style="3"/>
  </cols>
  <sheetData>
    <row r="2" spans="1:4" ht="13.5" thickBot="1" x14ac:dyDescent="0.25"/>
    <row r="3" spans="1:4" ht="15.75" x14ac:dyDescent="0.2">
      <c r="A3" s="423" t="s">
        <v>1</v>
      </c>
      <c r="B3" s="8" t="s">
        <v>89</v>
      </c>
      <c r="C3" s="12"/>
      <c r="D3" s="3"/>
    </row>
    <row r="4" spans="1:4" ht="15.75" customHeight="1" x14ac:dyDescent="0.2">
      <c r="A4" s="424"/>
      <c r="B4" s="5" t="s">
        <v>92</v>
      </c>
      <c r="C4" s="6"/>
      <c r="D4" s="3"/>
    </row>
    <row r="5" spans="1:4" ht="31.5" customHeight="1" thickBot="1" x14ac:dyDescent="0.25">
      <c r="A5" s="425"/>
      <c r="B5" s="10" t="s">
        <v>93</v>
      </c>
      <c r="C5" s="7"/>
      <c r="D5" s="3"/>
    </row>
    <row r="6" spans="1:4" ht="15.75" x14ac:dyDescent="0.2">
      <c r="A6" s="2"/>
      <c r="B6" s="2"/>
    </row>
    <row r="7" spans="1:4" ht="15.75" x14ac:dyDescent="0.2">
      <c r="B7" s="2"/>
      <c r="C7" s="2"/>
    </row>
    <row r="8" spans="1:4" ht="15.75" x14ac:dyDescent="0.2">
      <c r="C8" s="2"/>
    </row>
    <row r="9" spans="1:4" ht="15.75" x14ac:dyDescent="0.2">
      <c r="B9" s="2"/>
    </row>
    <row r="10" spans="1:4" ht="15.75" x14ac:dyDescent="0.2">
      <c r="B10" s="2"/>
      <c r="C10" s="2"/>
    </row>
    <row r="11" spans="1:4" ht="15.75" x14ac:dyDescent="0.2">
      <c r="C11" s="2"/>
    </row>
    <row r="12" spans="1:4" ht="15.75" x14ac:dyDescent="0.2">
      <c r="C12" s="2"/>
    </row>
    <row r="13" spans="1:4" ht="15.75" x14ac:dyDescent="0.2">
      <c r="B13" s="2"/>
    </row>
    <row r="14" spans="1:4" ht="15.75" x14ac:dyDescent="0.2">
      <c r="B14" s="2"/>
    </row>
    <row r="15" spans="1:4" ht="15.75" x14ac:dyDescent="0.2">
      <c r="B15" s="2"/>
      <c r="C15" s="2"/>
    </row>
    <row r="16" spans="1:4" ht="15.75" x14ac:dyDescent="0.2">
      <c r="C16" s="2"/>
    </row>
    <row r="17" spans="2:5" ht="15.75" x14ac:dyDescent="0.2">
      <c r="B17" s="2"/>
    </row>
    <row r="18" spans="2:5" ht="15.75" x14ac:dyDescent="0.2">
      <c r="B18" s="2"/>
    </row>
    <row r="19" spans="2:5" ht="15.75" x14ac:dyDescent="0.2">
      <c r="B19" s="2"/>
      <c r="C19" s="2"/>
      <c r="D19" s="9"/>
    </row>
    <row r="20" spans="2:5" ht="15.75" x14ac:dyDescent="0.2">
      <c r="D20" s="9"/>
      <c r="E20" s="2"/>
    </row>
    <row r="21" spans="2:5" ht="15.75" x14ac:dyDescent="0.2">
      <c r="D21" s="9"/>
      <c r="E21" s="2"/>
    </row>
    <row r="22" spans="2:5" ht="15.75" x14ac:dyDescent="0.2">
      <c r="D22" s="9"/>
      <c r="E22" s="2"/>
    </row>
    <row r="23" spans="2:5" ht="15.75" x14ac:dyDescent="0.2">
      <c r="D23" s="9"/>
      <c r="E23" s="2"/>
    </row>
    <row r="25" spans="2:5" ht="15.75" x14ac:dyDescent="0.2">
      <c r="D25" s="9"/>
    </row>
    <row r="27" spans="2:5" ht="15.75" x14ac:dyDescent="0.2">
      <c r="D27" s="9"/>
    </row>
    <row r="28" spans="2:5" ht="15.75" x14ac:dyDescent="0.2">
      <c r="D28" s="9"/>
    </row>
    <row r="29" spans="2:5" ht="15.75" x14ac:dyDescent="0.2">
      <c r="D29" s="9"/>
    </row>
    <row r="30" spans="2:5" ht="15.75" x14ac:dyDescent="0.2">
      <c r="D30" s="9"/>
    </row>
    <row r="31" spans="2:5" ht="15.75" x14ac:dyDescent="0.2">
      <c r="C31" s="2"/>
      <c r="D31" s="9"/>
    </row>
    <row r="32" spans="2:5" ht="15.75" x14ac:dyDescent="0.2">
      <c r="D32" s="9"/>
    </row>
    <row r="33" spans="3:6" ht="15.75" x14ac:dyDescent="0.2">
      <c r="D33" s="9"/>
    </row>
    <row r="34" spans="3:6" ht="15.75" x14ac:dyDescent="0.2">
      <c r="C34" s="2"/>
      <c r="D34" s="9"/>
      <c r="E34" s="2"/>
    </row>
    <row r="35" spans="3:6" ht="15.75" x14ac:dyDescent="0.2">
      <c r="D35" s="9"/>
      <c r="E35" s="2"/>
    </row>
    <row r="36" spans="3:6" ht="15.75" x14ac:dyDescent="0.2">
      <c r="D36" s="9"/>
      <c r="E36" s="2"/>
    </row>
    <row r="37" spans="3:6" ht="15.75" x14ac:dyDescent="0.2">
      <c r="D37" s="9"/>
      <c r="E37" s="2"/>
    </row>
    <row r="38" spans="3:6" ht="15.75" x14ac:dyDescent="0.2">
      <c r="E38" s="2"/>
    </row>
    <row r="39" spans="3:6" ht="15.75" x14ac:dyDescent="0.2">
      <c r="D39" s="9"/>
      <c r="E39" s="2"/>
      <c r="F39" s="2"/>
    </row>
    <row r="40" spans="3:6" ht="15.75" x14ac:dyDescent="0.2">
      <c r="F40" s="2"/>
    </row>
    <row r="41" spans="3:6" ht="15.75" x14ac:dyDescent="0.2">
      <c r="F41" s="2"/>
    </row>
    <row r="42" spans="3:6" ht="15.75" x14ac:dyDescent="0.2">
      <c r="D42" s="9"/>
      <c r="F42" s="2"/>
    </row>
    <row r="46" spans="3:6" ht="15.75" x14ac:dyDescent="0.2">
      <c r="C46" s="2"/>
      <c r="D46" s="9"/>
    </row>
    <row r="47" spans="3:6" ht="15.75" x14ac:dyDescent="0.2">
      <c r="D47" s="9"/>
    </row>
    <row r="48" spans="3:6" ht="15.75" x14ac:dyDescent="0.2">
      <c r="D48" s="9"/>
    </row>
    <row r="49" spans="1:5" ht="15.75" x14ac:dyDescent="0.2">
      <c r="D49" s="9"/>
      <c r="E49" s="2"/>
    </row>
    <row r="50" spans="1:5" ht="15.75" x14ac:dyDescent="0.2">
      <c r="D50" s="9"/>
      <c r="E50" s="2"/>
    </row>
    <row r="51" spans="1:5" ht="15.75" x14ac:dyDescent="0.2">
      <c r="D51" s="9"/>
    </row>
    <row r="52" spans="1:5" ht="15.75" x14ac:dyDescent="0.2">
      <c r="D52" s="9"/>
    </row>
    <row r="54" spans="1:5" ht="15.75" x14ac:dyDescent="0.2">
      <c r="D54" s="9"/>
    </row>
    <row r="55" spans="1:5" ht="15.75" x14ac:dyDescent="0.2">
      <c r="A55" s="426"/>
      <c r="B55" s="426"/>
      <c r="C55" s="2"/>
    </row>
    <row r="56" spans="1:5" ht="15.75" x14ac:dyDescent="0.2">
      <c r="A56" s="427"/>
      <c r="B56" s="427"/>
      <c r="C56" s="2"/>
    </row>
    <row r="57" spans="1:5" ht="15.75" x14ac:dyDescent="0.2">
      <c r="A57" s="427"/>
      <c r="B57" s="2"/>
    </row>
    <row r="58" spans="1:5" ht="15.75" x14ac:dyDescent="0.2">
      <c r="A58" s="426"/>
      <c r="B58" s="2"/>
      <c r="C58" s="2"/>
    </row>
    <row r="59" spans="1:5" ht="15.75" x14ac:dyDescent="0.2">
      <c r="A59" s="427"/>
      <c r="B59" s="426"/>
      <c r="C59" s="2"/>
    </row>
    <row r="60" spans="1:5" ht="15.75" x14ac:dyDescent="0.2">
      <c r="A60" s="427"/>
      <c r="B60" s="427"/>
      <c r="C60" s="2"/>
    </row>
    <row r="61" spans="1:5" ht="15.75" x14ac:dyDescent="0.2">
      <c r="A61" s="427"/>
      <c r="B61" s="426"/>
      <c r="C61" s="2"/>
    </row>
    <row r="62" spans="1:5" ht="15.75" x14ac:dyDescent="0.2">
      <c r="A62" s="427"/>
      <c r="B62" s="427"/>
      <c r="C62" s="2"/>
    </row>
    <row r="63" spans="1:5" ht="15.75" x14ac:dyDescent="0.2">
      <c r="A63" s="427"/>
      <c r="B63" s="2"/>
    </row>
    <row r="64" spans="1:5" ht="15.75" x14ac:dyDescent="0.2">
      <c r="A64" s="427"/>
      <c r="B64" s="2"/>
    </row>
    <row r="65" spans="1:4" ht="15.75" x14ac:dyDescent="0.2">
      <c r="A65" s="426"/>
      <c r="B65" s="2"/>
      <c r="C65" s="2"/>
    </row>
    <row r="66" spans="1:4" ht="15.75" x14ac:dyDescent="0.2">
      <c r="A66" s="427"/>
      <c r="B66" s="426"/>
      <c r="C66" s="2"/>
    </row>
    <row r="67" spans="1:4" ht="15.75" x14ac:dyDescent="0.2">
      <c r="A67" s="427"/>
      <c r="B67" s="427"/>
      <c r="C67" s="2"/>
      <c r="D67" s="9"/>
    </row>
    <row r="91" spans="1:1" ht="15.75" x14ac:dyDescent="0.2">
      <c r="A91" s="2"/>
    </row>
    <row r="92" spans="1:1" ht="15.75" x14ac:dyDescent="0.2">
      <c r="A92" s="2"/>
    </row>
    <row r="93" spans="1:1" ht="15.75" x14ac:dyDescent="0.2">
      <c r="A93" s="2"/>
    </row>
    <row r="94" spans="1:1" ht="15.75" x14ac:dyDescent="0.2">
      <c r="A94" s="2"/>
    </row>
    <row r="95" spans="1:1" ht="15.75" x14ac:dyDescent="0.2">
      <c r="A95" s="2"/>
    </row>
    <row r="96" spans="1:1" ht="15.75" x14ac:dyDescent="0.2">
      <c r="A96" s="2"/>
    </row>
    <row r="97" spans="1:1" ht="15.75" x14ac:dyDescent="0.2">
      <c r="A97" s="2"/>
    </row>
    <row r="98" spans="1:1" ht="15.75" x14ac:dyDescent="0.2">
      <c r="A98" s="2"/>
    </row>
    <row r="99" spans="1:1" ht="15.75" x14ac:dyDescent="0.2">
      <c r="A99" s="2"/>
    </row>
    <row r="100" spans="1:1" ht="15.75" x14ac:dyDescent="0.2">
      <c r="A100" s="2"/>
    </row>
    <row r="101" spans="1:1" ht="15.75" x14ac:dyDescent="0.2">
      <c r="A101" s="2"/>
    </row>
    <row r="102" spans="1:1" ht="15.75" x14ac:dyDescent="0.2">
      <c r="A102" s="2"/>
    </row>
    <row r="103" spans="1:1" ht="15.75" x14ac:dyDescent="0.2">
      <c r="A103" s="2"/>
    </row>
    <row r="104" spans="1:1" ht="15.75" x14ac:dyDescent="0.2">
      <c r="A104" s="2"/>
    </row>
    <row r="105" spans="1:1" ht="15.75" x14ac:dyDescent="0.2">
      <c r="A105" s="2"/>
    </row>
    <row r="106" spans="1:1" ht="15.75" x14ac:dyDescent="0.2">
      <c r="A106" s="2"/>
    </row>
    <row r="107" spans="1:1" ht="15.75" x14ac:dyDescent="0.2">
      <c r="A107" s="2"/>
    </row>
    <row r="108" spans="1:1" ht="15.75" x14ac:dyDescent="0.2">
      <c r="A108" s="2"/>
    </row>
    <row r="109" spans="1:1" ht="15.75" x14ac:dyDescent="0.2">
      <c r="A109" s="2"/>
    </row>
    <row r="110" spans="1:1" ht="15.75" x14ac:dyDescent="0.2">
      <c r="A110" s="2"/>
    </row>
    <row r="111" spans="1:1" ht="15.75" x14ac:dyDescent="0.2">
      <c r="A111" s="2"/>
    </row>
    <row r="112" spans="1:1" ht="15.75" x14ac:dyDescent="0.2">
      <c r="A112" s="2"/>
    </row>
    <row r="113" spans="1:1" ht="15.75" x14ac:dyDescent="0.2">
      <c r="A113" s="2"/>
    </row>
    <row r="114" spans="1:1" ht="15.75" x14ac:dyDescent="0.2">
      <c r="A114" s="2"/>
    </row>
    <row r="115" spans="1:1" ht="15.75" x14ac:dyDescent="0.2">
      <c r="A115" s="2"/>
    </row>
    <row r="116" spans="1:1" ht="15.75" x14ac:dyDescent="0.2">
      <c r="A116" s="2"/>
    </row>
    <row r="117" spans="1:1" ht="15.75" x14ac:dyDescent="0.2">
      <c r="A117" s="2"/>
    </row>
    <row r="118" spans="1:1" ht="15.75" x14ac:dyDescent="0.2">
      <c r="A118" s="2"/>
    </row>
    <row r="119" spans="1:1" ht="15.75" x14ac:dyDescent="0.2">
      <c r="A119" s="2"/>
    </row>
    <row r="120" spans="1:1" ht="15.75" x14ac:dyDescent="0.2">
      <c r="A120" s="2"/>
    </row>
    <row r="121" spans="1:1" ht="15.75" x14ac:dyDescent="0.2">
      <c r="A121" s="2"/>
    </row>
    <row r="122" spans="1:1" ht="15.75" x14ac:dyDescent="0.2">
      <c r="A122" s="2"/>
    </row>
    <row r="123" spans="1:1" ht="15.75" x14ac:dyDescent="0.2">
      <c r="A123" s="2"/>
    </row>
    <row r="124" spans="1:1" ht="15.75" x14ac:dyDescent="0.2">
      <c r="A124" s="2"/>
    </row>
    <row r="125" spans="1:1" ht="15.75" x14ac:dyDescent="0.2">
      <c r="A125" s="2"/>
    </row>
    <row r="126" spans="1:1" ht="15.75" x14ac:dyDescent="0.2">
      <c r="A126" s="2"/>
    </row>
    <row r="127" spans="1:1" ht="15.75" x14ac:dyDescent="0.2">
      <c r="A127" s="2"/>
    </row>
    <row r="128" spans="1:1" ht="15.75" x14ac:dyDescent="0.2">
      <c r="A128" s="2"/>
    </row>
    <row r="129" spans="1:1" ht="15.75" x14ac:dyDescent="0.2">
      <c r="A129" s="2"/>
    </row>
    <row r="130" spans="1:1" ht="15.75" x14ac:dyDescent="0.2">
      <c r="A130" s="2"/>
    </row>
    <row r="131" spans="1:1" ht="15.75" x14ac:dyDescent="0.2">
      <c r="A131" s="2"/>
    </row>
    <row r="132" spans="1:1" ht="15.75" x14ac:dyDescent="0.2">
      <c r="A132" s="2"/>
    </row>
    <row r="133" spans="1:1" ht="15.75" x14ac:dyDescent="0.2">
      <c r="A133" s="2"/>
    </row>
    <row r="134" spans="1:1" ht="15.75" x14ac:dyDescent="0.2">
      <c r="A134" s="2"/>
    </row>
    <row r="135" spans="1:1" ht="15.75" x14ac:dyDescent="0.2">
      <c r="A135" s="2"/>
    </row>
    <row r="136" spans="1:1" ht="15.75" x14ac:dyDescent="0.2">
      <c r="A136" s="2"/>
    </row>
    <row r="137" spans="1:1" ht="15.75" x14ac:dyDescent="0.2">
      <c r="A137" s="2"/>
    </row>
    <row r="138" spans="1:1" ht="15.75" x14ac:dyDescent="0.2">
      <c r="A138" s="2"/>
    </row>
    <row r="139" spans="1:1" ht="15.75" x14ac:dyDescent="0.2">
      <c r="A139" s="2"/>
    </row>
    <row r="140" spans="1:1" ht="15.75" x14ac:dyDescent="0.2">
      <c r="A140" s="2"/>
    </row>
    <row r="141" spans="1:1" ht="15.75" x14ac:dyDescent="0.2">
      <c r="A141" s="2"/>
    </row>
    <row r="142" spans="1:1" ht="15.75" x14ac:dyDescent="0.2">
      <c r="A142" s="2"/>
    </row>
    <row r="143" spans="1:1" ht="15.75" x14ac:dyDescent="0.2">
      <c r="A143" s="2"/>
    </row>
    <row r="144" spans="1:1" ht="15.75" x14ac:dyDescent="0.2">
      <c r="A144" s="2"/>
    </row>
    <row r="145" spans="1:1" ht="15.75" x14ac:dyDescent="0.2">
      <c r="A145" s="2"/>
    </row>
    <row r="146" spans="1:1" ht="15.75" x14ac:dyDescent="0.2">
      <c r="A146" s="2"/>
    </row>
    <row r="147" spans="1:1" ht="15.75" x14ac:dyDescent="0.2">
      <c r="A147" s="2"/>
    </row>
    <row r="148" spans="1:1" ht="15.75" x14ac:dyDescent="0.2">
      <c r="A148" s="2"/>
    </row>
    <row r="149" spans="1:1" ht="15.75" x14ac:dyDescent="0.2">
      <c r="A149" s="2"/>
    </row>
    <row r="150" spans="1:1" ht="15.75" x14ac:dyDescent="0.2">
      <c r="A150" s="2"/>
    </row>
    <row r="151" spans="1:1" ht="15.75" x14ac:dyDescent="0.2">
      <c r="A151" s="2"/>
    </row>
    <row r="152" spans="1:1" ht="15.75" x14ac:dyDescent="0.2">
      <c r="A152" s="2"/>
    </row>
    <row r="153" spans="1:1" ht="15.75" x14ac:dyDescent="0.2">
      <c r="A153" s="2"/>
    </row>
    <row r="154" spans="1:1" ht="15.75" x14ac:dyDescent="0.2">
      <c r="A154" s="2"/>
    </row>
    <row r="155" spans="1:1" ht="15.75" x14ac:dyDescent="0.2">
      <c r="A155" s="2"/>
    </row>
    <row r="156" spans="1:1" ht="15.75" x14ac:dyDescent="0.2">
      <c r="A156" s="2"/>
    </row>
    <row r="157" spans="1:1" ht="15.75" x14ac:dyDescent="0.2">
      <c r="A157" s="2"/>
    </row>
    <row r="158" spans="1:1" ht="15.75" x14ac:dyDescent="0.2">
      <c r="A158" s="2"/>
    </row>
    <row r="159" spans="1:1" ht="15.75" x14ac:dyDescent="0.2">
      <c r="A159" s="2"/>
    </row>
    <row r="160" spans="1:1" ht="15.75" x14ac:dyDescent="0.2">
      <c r="A160" s="2"/>
    </row>
    <row r="161" spans="1:1" ht="15.75" x14ac:dyDescent="0.2">
      <c r="A161" s="2"/>
    </row>
    <row r="162" spans="1:1" ht="15.75" x14ac:dyDescent="0.2">
      <c r="A162" s="2"/>
    </row>
    <row r="163" spans="1:1" ht="15.75" x14ac:dyDescent="0.2">
      <c r="A163" s="2"/>
    </row>
    <row r="164" spans="1:1" ht="15.75" x14ac:dyDescent="0.2">
      <c r="A164" s="2"/>
    </row>
    <row r="165" spans="1:1" ht="15.75" x14ac:dyDescent="0.2">
      <c r="A165" s="2"/>
    </row>
    <row r="166" spans="1:1" ht="15.75" x14ac:dyDescent="0.2">
      <c r="A166" s="2"/>
    </row>
    <row r="167" spans="1:1" ht="15.75" x14ac:dyDescent="0.2">
      <c r="A167" s="2"/>
    </row>
    <row r="168" spans="1:1" ht="15.75" x14ac:dyDescent="0.2">
      <c r="A168" s="2"/>
    </row>
    <row r="169" spans="1:1" ht="15.75" x14ac:dyDescent="0.2">
      <c r="A169" s="2"/>
    </row>
    <row r="170" spans="1:1" ht="15.75" x14ac:dyDescent="0.2">
      <c r="A170" s="2"/>
    </row>
    <row r="171" spans="1:1" ht="15.75" x14ac:dyDescent="0.2">
      <c r="A171" s="2"/>
    </row>
    <row r="172" spans="1:1" ht="15.75" x14ac:dyDescent="0.2">
      <c r="A172" s="2"/>
    </row>
    <row r="173" spans="1:1" ht="15.75" x14ac:dyDescent="0.2">
      <c r="A173" s="2"/>
    </row>
    <row r="174" spans="1:1" ht="15.75" x14ac:dyDescent="0.2">
      <c r="A174" s="2"/>
    </row>
    <row r="175" spans="1:1" ht="15.75" x14ac:dyDescent="0.2">
      <c r="A175" s="2"/>
    </row>
    <row r="176" spans="1:1" ht="15.75" x14ac:dyDescent="0.2">
      <c r="A176" s="2"/>
    </row>
    <row r="177" spans="1:1" ht="15.75" x14ac:dyDescent="0.2">
      <c r="A177" s="2"/>
    </row>
    <row r="178" spans="1:1" ht="15.75" x14ac:dyDescent="0.2">
      <c r="A178" s="2"/>
    </row>
    <row r="179" spans="1:1" ht="15.75" x14ac:dyDescent="0.2">
      <c r="A179" s="2"/>
    </row>
    <row r="180" spans="1:1" ht="15.75" x14ac:dyDescent="0.2">
      <c r="A180" s="2"/>
    </row>
    <row r="181" spans="1:1" ht="15.75" x14ac:dyDescent="0.2">
      <c r="A181" s="2"/>
    </row>
    <row r="182" spans="1:1" ht="15.75" x14ac:dyDescent="0.2">
      <c r="A182" s="2"/>
    </row>
    <row r="183" spans="1:1" ht="15.75" x14ac:dyDescent="0.2">
      <c r="A183" s="2"/>
    </row>
    <row r="184" spans="1:1" ht="15.75" x14ac:dyDescent="0.2">
      <c r="A184" s="2"/>
    </row>
    <row r="185" spans="1:1" ht="15.75" x14ac:dyDescent="0.2">
      <c r="A185" s="2"/>
    </row>
    <row r="186" spans="1:1" ht="15.75" x14ac:dyDescent="0.2">
      <c r="A186" s="2"/>
    </row>
    <row r="187" spans="1:1" ht="15.75" x14ac:dyDescent="0.2">
      <c r="A187" s="2"/>
    </row>
    <row r="188" spans="1:1" ht="15.75" x14ac:dyDescent="0.2">
      <c r="A188" s="2"/>
    </row>
    <row r="189" spans="1:1" ht="15.75" x14ac:dyDescent="0.2">
      <c r="A189" s="2"/>
    </row>
  </sheetData>
  <mergeCells count="8">
    <mergeCell ref="A3:A5"/>
    <mergeCell ref="A65:A67"/>
    <mergeCell ref="B66:B67"/>
    <mergeCell ref="A55:A57"/>
    <mergeCell ref="B55:B56"/>
    <mergeCell ref="A58:A64"/>
    <mergeCell ref="B59:B60"/>
    <mergeCell ref="B61:B62"/>
  </mergeCells>
  <pageMargins left="0.75" right="0.75" top="1" bottom="1" header="0.5" footer="0.5"/>
  <pageSetup paperSize="9"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1</vt:i4>
      </vt:variant>
    </vt:vector>
  </HeadingPairs>
  <TitlesOfParts>
    <vt:vector size="18" baseType="lpstr">
      <vt:lpstr>Tests (CARB Specific)</vt:lpstr>
      <vt:lpstr>Tests</vt:lpstr>
      <vt:lpstr>Resource Mapping Der (CARB XML)</vt:lpstr>
      <vt:lpstr>ARB FuelDescription</vt:lpstr>
      <vt:lpstr>ARB Veh_Class_Code</vt:lpstr>
      <vt:lpstr>Devices</vt:lpstr>
      <vt:lpstr>Optional Devices</vt:lpstr>
      <vt:lpstr>Drivers Aid</vt:lpstr>
      <vt:lpstr>CVS</vt:lpstr>
      <vt:lpstr>Flow Streams</vt:lpstr>
      <vt:lpstr>Weather Station</vt:lpstr>
      <vt:lpstr>Configurations Overview</vt:lpstr>
      <vt:lpstr>Filter Configurations</vt:lpstr>
      <vt:lpstr>Configurations</vt:lpstr>
      <vt:lpstr>Optional Device Config.</vt:lpstr>
      <vt:lpstr>Settings</vt:lpstr>
      <vt:lpstr>Sample Line Configurations </vt:lpstr>
      <vt:lpstr>'Tests (CARB Specific)'!Print_Area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Siebler, Jorg</dc:creator>
  <cp:lastModifiedBy>HIC IT</cp:lastModifiedBy>
  <cp:lastPrinted>2018-01-17T23:07:12Z</cp:lastPrinted>
  <dcterms:created xsi:type="dcterms:W3CDTF">2017-11-01T18:50:13Z</dcterms:created>
  <dcterms:modified xsi:type="dcterms:W3CDTF">2018-03-22T13:57:29Z</dcterms:modified>
</cp:coreProperties>
</file>